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ts+Estadístics" sheetId="1" r:id="rId4"/>
    <sheet state="visible" name="Yates" sheetId="2" r:id="rId5"/>
  </sheets>
  <definedNames/>
  <calcPr/>
</workbook>
</file>

<file path=xl/sharedStrings.xml><?xml version="1.0" encoding="utf-8"?>
<sst xmlns="http://schemas.openxmlformats.org/spreadsheetml/2006/main" count="193" uniqueCount="72">
  <si>
    <t>Escenari 1</t>
  </si>
  <si>
    <t>Rèplica (Seed)</t>
  </si>
  <si>
    <t>Benefici</t>
  </si>
  <si>
    <t>Mitjana</t>
  </si>
  <si>
    <t>Variància</t>
  </si>
  <si>
    <t>Interval de confiança del 95%</t>
  </si>
  <si>
    <t>Semiamplitud de l'interval de confiança</t>
  </si>
  <si>
    <t>5% del valor mitjà</t>
  </si>
  <si>
    <t>Escenari 2</t>
  </si>
  <si>
    <t>Escenari 3</t>
  </si>
  <si>
    <t>Escenari 4</t>
  </si>
  <si>
    <t>Escenari 5</t>
  </si>
  <si>
    <t>Escenari 6</t>
  </si>
  <si>
    <t>Escenari 7</t>
  </si>
  <si>
    <t>*Per motius evidents no posem els resultats individuals de cada run, els càlculs dels estadístics s'han fet amb python en aquest cas</t>
  </si>
  <si>
    <t>Escenari 8</t>
  </si>
  <si>
    <t>Escenari 8 (iteració 1)</t>
  </si>
  <si>
    <t>Seeds [100, 199]</t>
  </si>
  <si>
    <t>2599071.75</t>
  </si>
  <si>
    <t>-223.72 / 416.05</t>
  </si>
  <si>
    <t>319.88</t>
  </si>
  <si>
    <t>Escenari 8 (iteració 2)</t>
  </si>
  <si>
    <t>Seeds [200, 1199]</t>
  </si>
  <si>
    <t>2761946.91</t>
  </si>
  <si>
    <t>41.54 / 247.80</t>
  </si>
  <si>
    <t>103.12</t>
  </si>
  <si>
    <t>Escenari 8 (iteració 3)</t>
  </si>
  <si>
    <t>Seeds [1200, 11199]</t>
  </si>
  <si>
    <t>Escenari 9</t>
  </si>
  <si>
    <t>2756204.89</t>
  </si>
  <si>
    <t>147.40 / 212.49</t>
  </si>
  <si>
    <t>32.54</t>
  </si>
  <si>
    <t>Escenari 10</t>
  </si>
  <si>
    <t>Escenari 11</t>
  </si>
  <si>
    <t>Escenari 12</t>
  </si>
  <si>
    <t>Escenari 13</t>
  </si>
  <si>
    <t>Escenari 14</t>
  </si>
  <si>
    <t>Escenari 15</t>
  </si>
  <si>
    <t>Escenari 16</t>
  </si>
  <si>
    <t>Taula del disseny factorial</t>
  </si>
  <si>
    <t>*0 nivell baix</t>
  </si>
  <si>
    <t>Algorisme de Yates</t>
  </si>
  <si>
    <t>*1 nivell alt</t>
  </si>
  <si>
    <t>*Benefici de l'escenari 8 és després de fer 12000 rèpliques</t>
  </si>
  <si>
    <t>Escenari</t>
  </si>
  <si>
    <t>Temps Total (A)</t>
  </si>
  <si>
    <t>Nº Màquines (B)</t>
  </si>
  <si>
    <t>Interval entre paquets (C)</t>
  </si>
  <si>
    <t>Màquines Ràpides (D)</t>
  </si>
  <si>
    <t>Beneficis</t>
  </si>
  <si>
    <t>Aux1</t>
  </si>
  <si>
    <t>Aux2</t>
  </si>
  <si>
    <t>Aux3</t>
  </si>
  <si>
    <t>Aux4</t>
  </si>
  <si>
    <t>Div</t>
  </si>
  <si>
    <t>Efecte</t>
  </si>
  <si>
    <t>Combinació</t>
  </si>
  <si>
    <t>A</t>
  </si>
  <si>
    <t>B</t>
  </si>
  <si>
    <t>AB</t>
  </si>
  <si>
    <t>C</t>
  </si>
  <si>
    <t>AC</t>
  </si>
  <si>
    <t>BC</t>
  </si>
  <si>
    <t>ABC</t>
  </si>
  <si>
    <t>D</t>
  </si>
  <si>
    <t>AD</t>
  </si>
  <si>
    <t>BD</t>
  </si>
  <si>
    <t>ABD</t>
  </si>
  <si>
    <t>CD</t>
  </si>
  <si>
    <t>ACD</t>
  </si>
  <si>
    <t>BCD</t>
  </si>
  <si>
    <t>ABCD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</si>
</sst>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readingOrder="0"/>
    </xf>
    <xf borderId="0" fillId="2" fontId="1" numFmtId="0" xfId="0" applyFont="1"/>
    <xf borderId="0" fillId="2" fontId="4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0" fillId="0" fontId="1" numFmtId="164" xfId="0" applyAlignment="1" applyFont="1" applyNumberFormat="1">
      <alignment readingOrder="0"/>
    </xf>
    <xf borderId="0" fillId="2" fontId="3" numFmtId="0" xfId="0" applyAlignment="1" applyFont="1">
      <alignment horizontal="left" readingOrder="0"/>
    </xf>
    <xf borderId="0" fillId="2" fontId="1" numFmtId="0" xfId="0" applyAlignment="1" applyFont="1">
      <alignment horizontal="right"/>
    </xf>
    <xf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right" readingOrder="0" shrinkToFit="0" wrapText="1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2" fontId="6" numFmtId="0" xfId="0" applyAlignment="1" applyFont="1">
      <alignment horizontal="right"/>
    </xf>
    <xf borderId="0" fillId="2" fontId="6" numFmtId="0" xfId="0" applyAlignment="1" applyFont="1">
      <alignment horizontal="right" readingOrder="0"/>
    </xf>
    <xf borderId="0" fillId="3" fontId="3" numFmtId="0" xfId="0" applyAlignment="1" applyFill="1" applyFont="1">
      <alignment horizontal="left" readingOrder="0" shrinkToFit="0" wrapText="1"/>
    </xf>
    <xf borderId="0" fillId="3" fontId="6" numFmtId="0" xfId="0" applyAlignment="1" applyFont="1">
      <alignment horizontal="right"/>
    </xf>
    <xf borderId="0" fillId="2" fontId="2" numFmtId="0" xfId="0" applyAlignment="1" applyFont="1">
      <alignment horizontal="right" readingOrder="0" shrinkToFit="0" wrapText="1"/>
    </xf>
    <xf borderId="0" fillId="3" fontId="2" numFmtId="0" xfId="0" applyAlignment="1" applyFont="1">
      <alignment horizontal="right" readingOrder="0" shrinkToFit="0" wrapText="1"/>
    </xf>
    <xf borderId="0" fillId="2" fontId="5" numFmtId="0" xfId="0" applyAlignment="1" applyFont="1">
      <alignment horizontal="right" readingOrder="0" shrinkToFit="0" wrapText="1"/>
    </xf>
    <xf borderId="0" fillId="3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9.38"/>
    <col customWidth="1" min="6" max="6" width="21.63"/>
    <col customWidth="1" min="7" max="7" width="22.13"/>
    <col customWidth="1" min="8" max="9" width="19.38"/>
    <col customWidth="1" min="10" max="10" width="21.13"/>
    <col customWidth="1" min="11" max="11" width="16.5"/>
    <col customWidth="1" min="12" max="12" width="19.63"/>
    <col customWidth="1" min="13" max="13" width="18.0"/>
    <col customWidth="1" min="14" max="14" width="17.88"/>
    <col customWidth="1" min="15" max="15" width="19.5"/>
    <col customWidth="1" min="16" max="16" width="22.38"/>
    <col customWidth="1" min="17" max="17" width="19.38"/>
    <col customWidth="1" min="18" max="18" width="9.88"/>
    <col customWidth="1" min="19" max="19" width="12.5"/>
    <col customWidth="1" min="20" max="20" width="13.25"/>
    <col customWidth="1" min="21" max="21" width="22.13"/>
    <col customWidth="1" min="22" max="22" width="18.88"/>
    <col customWidth="1" min="23" max="23" width="2.25"/>
    <col customWidth="1" min="24" max="24" width="27.88"/>
    <col customWidth="1" min="25" max="25" width="35.5"/>
    <col customWidth="1" min="26" max="26" width="32.5"/>
    <col customWidth="1" min="27" max="27" width="36.25"/>
    <col customWidth="1" min="28" max="28" width="33.13"/>
    <col customWidth="1" min="29" max="29" width="41.88"/>
    <col customWidth="1" min="30" max="30" width="2.38"/>
    <col customWidth="1" min="31" max="31" width="50.0"/>
    <col customWidth="1" min="32" max="32" width="47.38"/>
    <col customWidth="1" min="33" max="34" width="55.75"/>
    <col customWidth="1" min="35" max="35" width="1.75"/>
    <col customWidth="1" min="36" max="36" width="69.25"/>
    <col customWidth="1" min="37" max="37" width="11.38"/>
    <col customWidth="1" min="38" max="38" width="1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3" t="s">
        <v>0</v>
      </c>
      <c r="C4" s="4"/>
      <c r="D4" s="4"/>
      <c r="E4" s="4"/>
      <c r="F4" s="4"/>
      <c r="G4" s="4"/>
      <c r="H4" s="4"/>
      <c r="I4" s="1"/>
    </row>
    <row r="5">
      <c r="A5" s="1"/>
      <c r="B5" s="4"/>
      <c r="C5" s="5" t="s">
        <v>1</v>
      </c>
      <c r="D5" s="5" t="s">
        <v>2</v>
      </c>
      <c r="E5" s="4"/>
      <c r="F5" s="4"/>
      <c r="G5" s="4"/>
      <c r="H5" s="4"/>
      <c r="I5" s="1"/>
    </row>
    <row r="6">
      <c r="A6" s="1"/>
      <c r="B6" s="4"/>
      <c r="C6" s="5">
        <v>1.0</v>
      </c>
      <c r="D6" s="6">
        <v>241919.0</v>
      </c>
      <c r="E6" s="4"/>
      <c r="F6" s="4"/>
      <c r="G6" s="4"/>
      <c r="H6" s="4"/>
      <c r="I6" s="1"/>
    </row>
    <row r="7">
      <c r="A7" s="1"/>
      <c r="B7" s="4"/>
      <c r="C7" s="5">
        <v>2.0</v>
      </c>
      <c r="D7" s="6">
        <v>241420.0</v>
      </c>
      <c r="E7" s="4"/>
      <c r="F7" s="4"/>
      <c r="G7" s="4"/>
      <c r="H7" s="4"/>
      <c r="I7" s="1"/>
    </row>
    <row r="8">
      <c r="A8" s="1"/>
      <c r="B8" s="4"/>
      <c r="C8" s="5">
        <v>3.0</v>
      </c>
      <c r="D8" s="6">
        <v>238351.0</v>
      </c>
      <c r="E8" s="4"/>
      <c r="F8" s="4"/>
      <c r="G8" s="4"/>
      <c r="H8" s="4"/>
      <c r="I8" s="1"/>
    </row>
    <row r="9">
      <c r="A9" s="1"/>
      <c r="B9" s="4"/>
      <c r="C9" s="5">
        <v>4.0</v>
      </c>
      <c r="D9" s="6">
        <v>239777.5</v>
      </c>
      <c r="E9" s="4"/>
      <c r="F9" s="4"/>
      <c r="G9" s="4"/>
      <c r="H9" s="4"/>
      <c r="I9" s="1"/>
    </row>
    <row r="10">
      <c r="A10" s="1"/>
      <c r="B10" s="4"/>
      <c r="C10" s="5">
        <v>5.0</v>
      </c>
      <c r="D10" s="6">
        <v>236816.0</v>
      </c>
      <c r="E10" s="4"/>
      <c r="F10" s="4"/>
      <c r="G10" s="4"/>
      <c r="H10" s="4"/>
      <c r="I10" s="1"/>
    </row>
    <row r="11">
      <c r="A11" s="1"/>
      <c r="B11" s="4"/>
      <c r="C11" s="5">
        <v>6.0</v>
      </c>
      <c r="D11" s="6">
        <v>238762.5</v>
      </c>
      <c r="E11" s="4"/>
      <c r="F11" s="4"/>
      <c r="G11" s="4"/>
      <c r="H11" s="4"/>
      <c r="I11" s="1"/>
    </row>
    <row r="12">
      <c r="A12" s="1"/>
      <c r="B12" s="4"/>
      <c r="C12" s="5">
        <v>7.0</v>
      </c>
      <c r="D12" s="6">
        <v>239522.5</v>
      </c>
      <c r="E12" s="4"/>
      <c r="F12" s="4"/>
      <c r="G12" s="4"/>
      <c r="H12" s="4"/>
      <c r="I12" s="1"/>
    </row>
    <row r="13">
      <c r="A13" s="1"/>
      <c r="B13" s="4"/>
      <c r="C13" s="5">
        <v>8.0</v>
      </c>
      <c r="D13" s="6">
        <v>235453.0</v>
      </c>
      <c r="E13" s="4"/>
      <c r="F13" s="4"/>
      <c r="G13" s="4"/>
      <c r="H13" s="4"/>
      <c r="I13" s="1"/>
    </row>
    <row r="14">
      <c r="A14" s="1"/>
      <c r="B14" s="4"/>
      <c r="C14" s="5">
        <v>9.0</v>
      </c>
      <c r="D14" s="6">
        <v>239626.0</v>
      </c>
      <c r="E14" s="4"/>
      <c r="F14" s="4"/>
      <c r="G14" s="4"/>
      <c r="H14" s="4"/>
      <c r="I14" s="1"/>
    </row>
    <row r="15">
      <c r="A15" s="1"/>
      <c r="B15" s="4"/>
      <c r="C15" s="5">
        <v>10.0</v>
      </c>
      <c r="D15" s="6">
        <v>239697.0</v>
      </c>
      <c r="E15" s="4"/>
      <c r="F15" s="4"/>
      <c r="G15" s="4"/>
      <c r="H15" s="4"/>
      <c r="I15" s="1"/>
    </row>
    <row r="16">
      <c r="A16" s="1"/>
      <c r="B16" s="4"/>
      <c r="C16" s="4"/>
      <c r="D16" s="4"/>
      <c r="E16" s="4"/>
      <c r="F16" s="4"/>
      <c r="G16" s="4"/>
      <c r="H16" s="4"/>
      <c r="I16" s="1"/>
    </row>
    <row r="17">
      <c r="A17" s="1"/>
      <c r="B17" s="4"/>
      <c r="C17" s="4"/>
      <c r="D17" s="5" t="s">
        <v>3</v>
      </c>
      <c r="E17" s="5" t="s">
        <v>4</v>
      </c>
      <c r="F17" s="7" t="s">
        <v>5</v>
      </c>
      <c r="G17" s="7" t="s">
        <v>6</v>
      </c>
      <c r="H17" s="7" t="s">
        <v>7</v>
      </c>
      <c r="I17" s="1"/>
    </row>
    <row r="18">
      <c r="A18" s="1"/>
      <c r="B18" s="4"/>
      <c r="C18" s="4"/>
      <c r="D18" s="6">
        <f>AVERAGE(D6:D15)</f>
        <v>239134.45</v>
      </c>
      <c r="E18" s="6">
        <f>VAR(D6:D15)</f>
        <v>3753340.303</v>
      </c>
      <c r="F18" s="6">
        <f>D18-G18</f>
        <v>237748.5505</v>
      </c>
      <c r="G18" s="8">
        <f>_xlfn.CONFIDENCE.T(0.05,SQRT(E18),COUNT(D6:D15))
</f>
        <v>1385.899523</v>
      </c>
      <c r="H18" s="6">
        <f>5%*D18</f>
        <v>11956.7225</v>
      </c>
      <c r="I18" s="1"/>
    </row>
    <row r="19">
      <c r="A19" s="1"/>
      <c r="B19" s="6"/>
      <c r="C19" s="4"/>
      <c r="D19" s="4"/>
      <c r="E19" s="4"/>
      <c r="F19" s="6">
        <f>D18+G18</f>
        <v>240520.3495</v>
      </c>
      <c r="G19" s="4"/>
      <c r="H19" s="4"/>
      <c r="I19" s="1"/>
    </row>
    <row r="20">
      <c r="A20" s="1"/>
      <c r="B20" s="1"/>
      <c r="C20" s="9"/>
      <c r="D20" s="9"/>
      <c r="E20" s="1"/>
      <c r="F20" s="1"/>
      <c r="G20" s="1"/>
      <c r="H20" s="1"/>
      <c r="I20" s="1"/>
    </row>
    <row r="21">
      <c r="A21" s="1"/>
      <c r="B21" s="1"/>
      <c r="C21" s="9"/>
      <c r="D21" s="1"/>
      <c r="E21" s="1"/>
      <c r="F21" s="1"/>
      <c r="G21" s="1"/>
      <c r="H21" s="1"/>
      <c r="I21" s="1"/>
    </row>
    <row r="22">
      <c r="A22" s="1"/>
      <c r="B22" s="1"/>
      <c r="C22" s="9"/>
      <c r="D22" s="1"/>
      <c r="E22" s="1"/>
      <c r="F22" s="1"/>
      <c r="G22" s="1"/>
      <c r="H22" s="1"/>
      <c r="I22" s="1"/>
    </row>
    <row r="23">
      <c r="A23" s="1"/>
      <c r="B23" s="3" t="s">
        <v>8</v>
      </c>
      <c r="C23" s="4"/>
      <c r="D23" s="4"/>
      <c r="E23" s="4"/>
      <c r="F23" s="4"/>
      <c r="G23" s="4"/>
      <c r="H23" s="4"/>
      <c r="I23" s="1"/>
    </row>
    <row r="24">
      <c r="A24" s="1"/>
      <c r="B24" s="4"/>
      <c r="C24" s="5" t="s">
        <v>1</v>
      </c>
      <c r="D24" s="5" t="s">
        <v>2</v>
      </c>
      <c r="E24" s="4"/>
      <c r="F24" s="4"/>
      <c r="G24" s="4"/>
      <c r="H24" s="4"/>
      <c r="I24" s="1"/>
    </row>
    <row r="25">
      <c r="A25" s="1"/>
      <c r="B25" s="4"/>
      <c r="C25" s="5">
        <v>1.0</v>
      </c>
      <c r="D25" s="6">
        <v>68780.5</v>
      </c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1"/>
      <c r="B26" s="4"/>
      <c r="C26" s="5">
        <v>2.0</v>
      </c>
      <c r="D26" s="6">
        <v>70630.0</v>
      </c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1"/>
      <c r="B27" s="4"/>
      <c r="C27" s="5">
        <v>3.0</v>
      </c>
      <c r="D27" s="6">
        <v>68179.5</v>
      </c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1"/>
      <c r="B28" s="4"/>
      <c r="C28" s="5">
        <v>4.0</v>
      </c>
      <c r="D28" s="6">
        <v>67900.5</v>
      </c>
      <c r="E28" s="4"/>
      <c r="F28" s="4"/>
      <c r="G28" s="4"/>
      <c r="H28" s="4"/>
      <c r="I28" s="1"/>
      <c r="J28" s="2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>
      <c r="A29" s="1"/>
      <c r="B29" s="4"/>
      <c r="C29" s="5">
        <v>5.0</v>
      </c>
      <c r="D29" s="6">
        <v>69170.5</v>
      </c>
      <c r="E29" s="4"/>
      <c r="F29" s="4"/>
      <c r="G29" s="4"/>
      <c r="H29" s="4"/>
      <c r="I29" s="1"/>
      <c r="J29" s="10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1"/>
      <c r="B30" s="4"/>
      <c r="C30" s="5">
        <v>6.0</v>
      </c>
      <c r="D30" s="6">
        <v>70332.0</v>
      </c>
      <c r="E30" s="4"/>
      <c r="F30" s="4"/>
      <c r="G30" s="4"/>
      <c r="H30" s="4"/>
      <c r="I30" s="1"/>
      <c r="J30" s="10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1"/>
      <c r="B31" s="4"/>
      <c r="C31" s="5">
        <v>7.0</v>
      </c>
      <c r="D31" s="6">
        <v>67409.0</v>
      </c>
      <c r="E31" s="4"/>
      <c r="F31" s="4"/>
      <c r="G31" s="4"/>
      <c r="H31" s="4"/>
      <c r="I31" s="1"/>
      <c r="J31" s="10"/>
      <c r="K31" s="11"/>
      <c r="L31" s="12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1"/>
      <c r="B32" s="4"/>
      <c r="C32" s="5">
        <v>8.0</v>
      </c>
      <c r="D32" s="6">
        <v>69569.5</v>
      </c>
      <c r="E32" s="4"/>
      <c r="F32" s="4"/>
      <c r="G32" s="4"/>
      <c r="H32" s="4"/>
      <c r="I32" s="1"/>
      <c r="J32" s="10"/>
      <c r="K32" s="12"/>
      <c r="L32" s="12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1"/>
      <c r="B33" s="4"/>
      <c r="C33" s="5">
        <v>9.0</v>
      </c>
      <c r="D33" s="6">
        <v>69096.0</v>
      </c>
      <c r="E33" s="4"/>
      <c r="F33" s="4"/>
      <c r="G33" s="4"/>
      <c r="H33" s="4"/>
      <c r="I33" s="1"/>
      <c r="J33" s="10"/>
      <c r="K33" s="11"/>
      <c r="L33" s="11"/>
      <c r="M33" s="12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1"/>
      <c r="B34" s="4"/>
      <c r="C34" s="5">
        <v>10.0</v>
      </c>
      <c r="D34" s="6">
        <v>69535.0</v>
      </c>
      <c r="E34" s="4"/>
      <c r="F34" s="4"/>
      <c r="G34" s="4"/>
      <c r="H34" s="4"/>
      <c r="I34" s="1"/>
      <c r="J34" s="10"/>
      <c r="K34" s="12"/>
      <c r="L34" s="11"/>
      <c r="M34" s="12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1"/>
      <c r="B35" s="4"/>
      <c r="C35" s="4"/>
      <c r="D35" s="4"/>
      <c r="E35" s="4"/>
      <c r="F35" s="4"/>
      <c r="G35" s="4"/>
      <c r="H35" s="4"/>
      <c r="I35" s="1"/>
      <c r="J35" s="10"/>
      <c r="K35" s="11"/>
      <c r="L35" s="12"/>
      <c r="M35" s="12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1"/>
      <c r="B36" s="4"/>
      <c r="C36" s="4"/>
      <c r="D36" s="5" t="s">
        <v>3</v>
      </c>
      <c r="E36" s="5" t="s">
        <v>4</v>
      </c>
      <c r="F36" s="7" t="s">
        <v>5</v>
      </c>
      <c r="G36" s="7" t="s">
        <v>6</v>
      </c>
      <c r="H36" s="7" t="s">
        <v>7</v>
      </c>
      <c r="I36" s="1"/>
      <c r="J36" s="10"/>
      <c r="K36" s="12"/>
      <c r="L36" s="12"/>
      <c r="M36" s="12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1"/>
      <c r="B37" s="4"/>
      <c r="C37" s="4"/>
      <c r="D37" s="6">
        <f>AVERAGE(D25:D34)</f>
        <v>69060.25</v>
      </c>
      <c r="E37" s="6">
        <f>VAR(D25:D34)</f>
        <v>1056138.514</v>
      </c>
      <c r="F37" s="6">
        <f>D37-G37</f>
        <v>68325.08772</v>
      </c>
      <c r="G37" s="8">
        <f>_xlfn.CONFIDENCE.T(0.05,SQRT(E37),COUNT(D25:D34))
</f>
        <v>735.162277</v>
      </c>
      <c r="H37" s="6">
        <f>5%*D37</f>
        <v>3453.0125</v>
      </c>
      <c r="I37" s="1"/>
      <c r="J37" s="10"/>
      <c r="K37" s="11"/>
      <c r="L37" s="11"/>
      <c r="M37" s="11"/>
      <c r="N37" s="1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1"/>
      <c r="B38" s="6"/>
      <c r="C38" s="4"/>
      <c r="D38" s="4"/>
      <c r="E38" s="4"/>
      <c r="F38" s="6">
        <f>D37+G37</f>
        <v>69795.41228</v>
      </c>
      <c r="G38" s="4"/>
      <c r="H38" s="4"/>
      <c r="I38" s="1"/>
      <c r="J38" s="10"/>
      <c r="K38" s="12"/>
      <c r="L38" s="11"/>
      <c r="M38" s="11"/>
      <c r="N38" s="1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1"/>
      <c r="B39" s="1"/>
      <c r="C39" s="9"/>
      <c r="D39" s="1"/>
      <c r="E39" s="1"/>
      <c r="F39" s="1"/>
      <c r="G39" s="1"/>
      <c r="H39" s="1"/>
      <c r="I39" s="1"/>
      <c r="J39" s="10"/>
      <c r="K39" s="11"/>
      <c r="L39" s="12"/>
      <c r="M39" s="11"/>
      <c r="N39" s="1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1"/>
      <c r="B40" s="1"/>
      <c r="C40" s="9"/>
      <c r="D40" s="1"/>
      <c r="E40" s="1"/>
      <c r="F40" s="1"/>
      <c r="G40" s="1"/>
      <c r="H40" s="1"/>
      <c r="I40" s="1"/>
      <c r="J40" s="10"/>
      <c r="K40" s="12"/>
      <c r="L40" s="12"/>
      <c r="M40" s="11"/>
      <c r="N40" s="1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1"/>
      <c r="B41" s="1"/>
      <c r="C41" s="9"/>
      <c r="D41" s="1"/>
      <c r="E41" s="1"/>
      <c r="F41" s="1"/>
      <c r="G41" s="1"/>
      <c r="H41" s="1"/>
      <c r="I41" s="1"/>
      <c r="J41" s="10"/>
      <c r="K41" s="11"/>
      <c r="L41" s="11"/>
      <c r="M41" s="12"/>
      <c r="N41" s="1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1"/>
      <c r="B42" s="3" t="s">
        <v>9</v>
      </c>
      <c r="C42" s="4"/>
      <c r="D42" s="4"/>
      <c r="E42" s="4"/>
      <c r="F42" s="4"/>
      <c r="G42" s="4"/>
      <c r="H42" s="4"/>
      <c r="I42" s="1"/>
      <c r="J42" s="10"/>
      <c r="K42" s="12"/>
      <c r="L42" s="11"/>
      <c r="M42" s="12"/>
      <c r="N42" s="1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1"/>
      <c r="B43" s="4"/>
      <c r="C43" s="5" t="s">
        <v>1</v>
      </c>
      <c r="D43" s="5" t="s">
        <v>2</v>
      </c>
      <c r="E43" s="4"/>
      <c r="F43" s="4"/>
      <c r="G43" s="4"/>
      <c r="H43" s="4"/>
      <c r="I43" s="1"/>
      <c r="J43" s="10"/>
      <c r="K43" s="11"/>
      <c r="L43" s="12"/>
      <c r="M43" s="12"/>
      <c r="N43" s="1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4"/>
      <c r="C44" s="5">
        <v>1.0</v>
      </c>
      <c r="D44" s="6">
        <v>-49959.5</v>
      </c>
      <c r="E44" s="4"/>
      <c r="F44" s="4"/>
      <c r="G44" s="4"/>
      <c r="H44" s="4"/>
      <c r="I44" s="1"/>
      <c r="J44" s="10"/>
      <c r="K44" s="12"/>
      <c r="L44" s="12"/>
      <c r="M44" s="12"/>
      <c r="N44" s="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4"/>
      <c r="C45" s="5">
        <v>2.0</v>
      </c>
      <c r="D45" s="6">
        <v>-48688.0</v>
      </c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1"/>
      <c r="B46" s="4"/>
      <c r="C46" s="5">
        <v>3.0</v>
      </c>
      <c r="D46" s="6">
        <v>-46098.5</v>
      </c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1"/>
      <c r="B47" s="4"/>
      <c r="C47" s="5">
        <v>4.0</v>
      </c>
      <c r="D47" s="6">
        <v>-46655.0</v>
      </c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1"/>
      <c r="B48" s="4"/>
      <c r="C48" s="5">
        <v>5.0</v>
      </c>
      <c r="D48" s="6">
        <v>-50177.5</v>
      </c>
      <c r="E48" s="4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1"/>
      <c r="B49" s="4"/>
      <c r="C49" s="5">
        <v>6.0</v>
      </c>
      <c r="D49" s="6">
        <v>-50459.5</v>
      </c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1"/>
      <c r="B50" s="4"/>
      <c r="C50" s="5">
        <v>7.0</v>
      </c>
      <c r="D50" s="6">
        <v>-49504.5</v>
      </c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1"/>
      <c r="B51" s="4"/>
      <c r="C51" s="5">
        <v>8.0</v>
      </c>
      <c r="D51" s="6">
        <v>-50527.5</v>
      </c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1"/>
      <c r="B52" s="4"/>
      <c r="C52" s="5">
        <v>9.0</v>
      </c>
      <c r="D52" s="6">
        <v>-46957.5</v>
      </c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1"/>
      <c r="B53" s="4"/>
      <c r="C53" s="5">
        <v>10.0</v>
      </c>
      <c r="D53" s="6">
        <v>-45578.0</v>
      </c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1"/>
      <c r="B54" s="4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1"/>
      <c r="B55" s="4"/>
      <c r="C55" s="4"/>
      <c r="D55" s="5" t="s">
        <v>3</v>
      </c>
      <c r="E55" s="5" t="s">
        <v>4</v>
      </c>
      <c r="F55" s="7" t="s">
        <v>5</v>
      </c>
      <c r="G55" s="7" t="s">
        <v>6</v>
      </c>
      <c r="H55" s="7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1"/>
      <c r="B56" s="4"/>
      <c r="C56" s="4"/>
      <c r="D56" s="6">
        <f>AVERAGE(D44:D53)</f>
        <v>-48460.55</v>
      </c>
      <c r="E56" s="6">
        <f>VAR(D44:D53)</f>
        <v>3779106.858</v>
      </c>
      <c r="F56" s="6">
        <f>D56-G56</f>
        <v>-49851.19846</v>
      </c>
      <c r="G56" s="8">
        <f>_xlfn.CONFIDENCE.T(0.05,SQRT(E56),COUNT(D44:D53))
</f>
        <v>1390.648463</v>
      </c>
      <c r="H56" s="6">
        <f>5%*D56</f>
        <v>-2423.0275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1"/>
      <c r="B57" s="6"/>
      <c r="C57" s="4"/>
      <c r="D57" s="4"/>
      <c r="E57" s="4"/>
      <c r="F57" s="6">
        <f>D56+G56</f>
        <v>-47069.90154</v>
      </c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1"/>
      <c r="B58" s="1"/>
      <c r="C58" s="1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1"/>
      <c r="B61" s="3" t="s">
        <v>10</v>
      </c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1"/>
      <c r="B62" s="4"/>
      <c r="C62" s="5" t="s">
        <v>1</v>
      </c>
      <c r="D62" s="5" t="s">
        <v>2</v>
      </c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1"/>
      <c r="B63" s="4"/>
      <c r="C63" s="5">
        <v>1.0</v>
      </c>
      <c r="D63" s="6">
        <v>-75972.5</v>
      </c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1"/>
      <c r="B64" s="4"/>
      <c r="C64" s="5">
        <v>2.0</v>
      </c>
      <c r="D64" s="6">
        <v>-74760.0</v>
      </c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1"/>
      <c r="B65" s="4"/>
      <c r="C65" s="5">
        <v>3.0</v>
      </c>
      <c r="D65" s="6">
        <v>-73374.5</v>
      </c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1"/>
      <c r="B66" s="4"/>
      <c r="C66" s="5">
        <v>4.0</v>
      </c>
      <c r="D66" s="6">
        <v>-75025.0</v>
      </c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1"/>
      <c r="B67" s="4"/>
      <c r="C67" s="5">
        <v>5.0</v>
      </c>
      <c r="D67" s="6">
        <v>-75231.0</v>
      </c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1"/>
      <c r="B68" s="4"/>
      <c r="C68" s="5">
        <v>6.0</v>
      </c>
      <c r="D68" s="6">
        <v>-75224.5</v>
      </c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1"/>
      <c r="B69" s="4"/>
      <c r="C69" s="5">
        <v>7.0</v>
      </c>
      <c r="D69" s="6">
        <v>-74178.0</v>
      </c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1"/>
      <c r="B70" s="4"/>
      <c r="C70" s="5">
        <v>8.0</v>
      </c>
      <c r="D70" s="6">
        <v>-75669.5</v>
      </c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1"/>
      <c r="B71" s="4"/>
      <c r="C71" s="5">
        <v>9.0</v>
      </c>
      <c r="D71" s="6">
        <v>-76320.0</v>
      </c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1"/>
      <c r="B72" s="4"/>
      <c r="C72" s="5">
        <v>10.0</v>
      </c>
      <c r="D72" s="6">
        <v>-76292.0</v>
      </c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1"/>
      <c r="B73" s="4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4"/>
      <c r="C74" s="4"/>
      <c r="D74" s="5" t="s">
        <v>3</v>
      </c>
      <c r="E74" s="5" t="s">
        <v>4</v>
      </c>
      <c r="F74" s="7" t="s">
        <v>5</v>
      </c>
      <c r="G74" s="7" t="s">
        <v>6</v>
      </c>
      <c r="H74" s="7" t="s">
        <v>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4"/>
      <c r="C75" s="4"/>
      <c r="D75" s="6">
        <f>AVERAGE(D63:D72)</f>
        <v>-75204.7</v>
      </c>
      <c r="E75" s="6">
        <f>VAR(D63:D72)</f>
        <v>874061.1222</v>
      </c>
      <c r="F75" s="6">
        <f>D75-G75</f>
        <v>-75873.49601</v>
      </c>
      <c r="G75" s="8">
        <f>_xlfn.CONFIDENCE.T(0.05,SQRT(E75),COUNT(D63:D72))
</f>
        <v>668.7960137</v>
      </c>
      <c r="H75" s="6">
        <f>5%*D75</f>
        <v>-3760.235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1"/>
      <c r="B76" s="6"/>
      <c r="C76" s="4"/>
      <c r="D76" s="4"/>
      <c r="E76" s="4"/>
      <c r="F76" s="6">
        <f>D75+G75</f>
        <v>-74535.90399</v>
      </c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1"/>
      <c r="B77" s="1"/>
      <c r="C77" s="9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1"/>
      <c r="B78" s="1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1"/>
      <c r="B79" s="1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1"/>
      <c r="B80" s="3" t="s">
        <v>11</v>
      </c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1"/>
      <c r="B81" s="4"/>
      <c r="C81" s="5" t="s">
        <v>1</v>
      </c>
      <c r="D81" s="5" t="s">
        <v>2</v>
      </c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1"/>
      <c r="B82" s="4"/>
      <c r="C82" s="5">
        <v>1.0</v>
      </c>
      <c r="D82" s="6">
        <v>336707.5</v>
      </c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1"/>
      <c r="B83" s="4"/>
      <c r="C83" s="5">
        <v>2.0</v>
      </c>
      <c r="D83" s="6">
        <v>338417.0</v>
      </c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1"/>
      <c r="B84" s="4"/>
      <c r="C84" s="5">
        <v>3.0</v>
      </c>
      <c r="D84" s="6">
        <v>337770.0</v>
      </c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1"/>
      <c r="B85" s="4"/>
      <c r="C85" s="5">
        <v>4.0</v>
      </c>
      <c r="D85" s="6">
        <v>338769.5</v>
      </c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1"/>
      <c r="B86" s="4"/>
      <c r="C86" s="5">
        <v>5.0</v>
      </c>
      <c r="D86" s="6">
        <v>339635.0</v>
      </c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1"/>
      <c r="B87" s="4"/>
      <c r="C87" s="5">
        <v>6.0</v>
      </c>
      <c r="D87" s="6">
        <v>341520.0</v>
      </c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4"/>
      <c r="C88" s="5">
        <v>7.0</v>
      </c>
      <c r="D88" s="6">
        <v>338899.0</v>
      </c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4"/>
      <c r="C89" s="5">
        <v>8.0</v>
      </c>
      <c r="D89" s="6">
        <v>338853.5</v>
      </c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4"/>
      <c r="C90" s="5">
        <v>9.0</v>
      </c>
      <c r="D90" s="6">
        <v>339295.5</v>
      </c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4"/>
      <c r="C91" s="5">
        <v>10.0</v>
      </c>
      <c r="D91" s="6">
        <v>342476.5</v>
      </c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4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4"/>
      <c r="C93" s="4"/>
      <c r="D93" s="5" t="s">
        <v>3</v>
      </c>
      <c r="E93" s="5" t="s">
        <v>4</v>
      </c>
      <c r="F93" s="7" t="s">
        <v>5</v>
      </c>
      <c r="G93" s="7" t="s">
        <v>6</v>
      </c>
      <c r="H93" s="7" t="s">
        <v>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4"/>
      <c r="C94" s="4"/>
      <c r="D94" s="6">
        <f>AVERAGE(D82:D91)</f>
        <v>339234.35</v>
      </c>
      <c r="E94" s="6">
        <f>VAR(D82:D91)</f>
        <v>2841215.225</v>
      </c>
      <c r="F94" s="6">
        <f>D94-G94</f>
        <v>338028.5512</v>
      </c>
      <c r="G94" s="8">
        <f>_xlfn.CONFIDENCE.T(0.05,SQRT(E94),COUNT(D82:D91))
</f>
        <v>1205.798782</v>
      </c>
      <c r="H94" s="6">
        <f>5%*D94</f>
        <v>16961.7175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6"/>
      <c r="C95" s="4"/>
      <c r="D95" s="4"/>
      <c r="E95" s="4"/>
      <c r="F95" s="6">
        <f>D94+G94</f>
        <v>340440.1488</v>
      </c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1"/>
      <c r="C96" s="9"/>
      <c r="D96" s="1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1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1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3" t="s">
        <v>12</v>
      </c>
      <c r="C99" s="4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4"/>
      <c r="C100" s="5" t="s">
        <v>1</v>
      </c>
      <c r="D100" s="5" t="s">
        <v>2</v>
      </c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4"/>
      <c r="C101" s="5">
        <v>1.0</v>
      </c>
      <c r="D101" s="6">
        <v>137484.0</v>
      </c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4"/>
      <c r="C102" s="5">
        <v>2.0</v>
      </c>
      <c r="D102" s="6">
        <v>141542.0</v>
      </c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4"/>
      <c r="C103" s="5">
        <v>3.0</v>
      </c>
      <c r="D103" s="6">
        <v>138288.0</v>
      </c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4"/>
      <c r="C104" s="5">
        <v>4.0</v>
      </c>
      <c r="D104" s="6">
        <v>139563.0</v>
      </c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4"/>
      <c r="C105" s="5">
        <v>5.0</v>
      </c>
      <c r="D105" s="6">
        <v>141509.5</v>
      </c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4"/>
      <c r="C106" s="5">
        <v>6.0</v>
      </c>
      <c r="D106" s="6">
        <v>145344.0</v>
      </c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4"/>
      <c r="C107" s="5">
        <v>7.0</v>
      </c>
      <c r="D107" s="6">
        <v>142742.5</v>
      </c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4"/>
      <c r="C108" s="5">
        <v>8.0</v>
      </c>
      <c r="D108" s="6">
        <v>141524.5</v>
      </c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4"/>
      <c r="C109" s="5">
        <v>9.0</v>
      </c>
      <c r="D109" s="6">
        <v>141038.0</v>
      </c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4"/>
      <c r="C110" s="5">
        <v>10.0</v>
      </c>
      <c r="D110" s="6">
        <v>141940.0</v>
      </c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4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4"/>
      <c r="C112" s="4"/>
      <c r="D112" s="5" t="s">
        <v>3</v>
      </c>
      <c r="E112" s="5" t="s">
        <v>4</v>
      </c>
      <c r="F112" s="7" t="s">
        <v>5</v>
      </c>
      <c r="G112" s="7" t="s">
        <v>6</v>
      </c>
      <c r="H112" s="7" t="s">
        <v>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4"/>
      <c r="C113" s="4"/>
      <c r="D113" s="6">
        <f>AVERAGE(D101:D110)</f>
        <v>141097.55</v>
      </c>
      <c r="E113" s="6">
        <f>VAR(D101:D110)</f>
        <v>5034127.747</v>
      </c>
      <c r="F113" s="6">
        <f>D113-G113</f>
        <v>139492.5136</v>
      </c>
      <c r="G113" s="8">
        <f>_xlfn.CONFIDENCE.T(0.05,SQRT(E113),COUNT(D101:D110))
</f>
        <v>1605.036415</v>
      </c>
      <c r="H113" s="6">
        <f>5%*D113</f>
        <v>7054.8775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6"/>
      <c r="C114" s="4"/>
      <c r="D114" s="4"/>
      <c r="E114" s="4"/>
      <c r="F114" s="6">
        <f>D113+G113</f>
        <v>142702.5864</v>
      </c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1"/>
      <c r="C115" s="1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3" t="s">
        <v>13</v>
      </c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4"/>
      <c r="C119" s="5" t="s">
        <v>1</v>
      </c>
      <c r="D119" s="5" t="s">
        <v>2</v>
      </c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4"/>
      <c r="C120" s="5">
        <v>1.0</v>
      </c>
      <c r="D120" s="6">
        <v>49207.5</v>
      </c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4"/>
      <c r="C121" s="5">
        <v>2.0</v>
      </c>
      <c r="D121" s="6">
        <v>47309.0</v>
      </c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4"/>
      <c r="C122" s="5">
        <v>3.0</v>
      </c>
      <c r="D122" s="6">
        <v>49141.0</v>
      </c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4"/>
      <c r="C123" s="5">
        <v>4.0</v>
      </c>
      <c r="D123" s="6">
        <v>56116.5</v>
      </c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4"/>
      <c r="C124" s="5">
        <v>5.0</v>
      </c>
      <c r="D124" s="6">
        <v>53379.0</v>
      </c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4"/>
      <c r="C125" s="5">
        <v>6.0</v>
      </c>
      <c r="D125" s="6">
        <v>54688.5</v>
      </c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4"/>
      <c r="C126" s="5">
        <v>7.0</v>
      </c>
      <c r="D126" s="6">
        <v>52473.5</v>
      </c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4"/>
      <c r="C127" s="5">
        <v>8.0</v>
      </c>
      <c r="D127" s="6">
        <v>46062.5</v>
      </c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4"/>
      <c r="C128" s="5">
        <v>9.0</v>
      </c>
      <c r="D128" s="6">
        <v>50590.5</v>
      </c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4"/>
      <c r="C129" s="5">
        <v>10.0</v>
      </c>
      <c r="D129" s="6">
        <v>49015.5</v>
      </c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4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4"/>
      <c r="C131" s="4"/>
      <c r="D131" s="5" t="s">
        <v>3</v>
      </c>
      <c r="E131" s="5" t="s">
        <v>4</v>
      </c>
      <c r="F131" s="7" t="s">
        <v>5</v>
      </c>
      <c r="G131" s="7" t="s">
        <v>6</v>
      </c>
      <c r="H131" s="7" t="s">
        <v>7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4"/>
      <c r="C132" s="4"/>
      <c r="D132" s="6">
        <f>AVERAGE(D120:D129)</f>
        <v>50798.35</v>
      </c>
      <c r="E132" s="6">
        <f>VAR(D120:D129)</f>
        <v>10665008.39</v>
      </c>
      <c r="F132" s="6">
        <f>D132-G132</f>
        <v>48462.18574</v>
      </c>
      <c r="G132" s="8">
        <f>_xlfn.CONFIDENCE.T(0.05,SQRT(E132),COUNT(D120:D129))
</f>
        <v>2336.164256</v>
      </c>
      <c r="H132" s="6">
        <f>5%*D132</f>
        <v>2539.9175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6"/>
      <c r="C133" s="4"/>
      <c r="D133" s="4"/>
      <c r="E133" s="4"/>
      <c r="F133" s="6">
        <f>D132+G132</f>
        <v>53134.51426</v>
      </c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1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1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1"/>
      <c r="C136" s="9"/>
      <c r="D136" s="1"/>
      <c r="E136" s="1"/>
      <c r="F136" s="1"/>
      <c r="G136" s="1"/>
      <c r="H136" s="1"/>
      <c r="I136" s="1"/>
      <c r="J136" s="9" t="s">
        <v>14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3" t="s">
        <v>15</v>
      </c>
      <c r="C137" s="4"/>
      <c r="D137" s="4"/>
      <c r="E137" s="4"/>
      <c r="F137" s="4"/>
      <c r="G137" s="4"/>
      <c r="H137" s="4"/>
      <c r="I137" s="1"/>
      <c r="J137" s="14" t="s">
        <v>16</v>
      </c>
      <c r="K137" s="15"/>
      <c r="L137" s="15"/>
      <c r="M137" s="15"/>
      <c r="N137" s="1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4"/>
      <c r="C138" s="5" t="s">
        <v>1</v>
      </c>
      <c r="D138" s="5" t="s">
        <v>2</v>
      </c>
      <c r="E138" s="4"/>
      <c r="F138" s="4"/>
      <c r="G138" s="4"/>
      <c r="H138" s="4"/>
      <c r="I138" s="1"/>
      <c r="J138" s="15"/>
      <c r="K138" s="16"/>
      <c r="L138" s="16"/>
      <c r="M138" s="15"/>
      <c r="N138" s="1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4"/>
      <c r="C139" s="5">
        <v>1.0</v>
      </c>
      <c r="D139" s="6">
        <v>-1507.0</v>
      </c>
      <c r="E139" s="4"/>
      <c r="F139" s="4"/>
      <c r="G139" s="4"/>
      <c r="H139" s="4"/>
      <c r="I139" s="1"/>
      <c r="J139" s="16" t="s">
        <v>17</v>
      </c>
      <c r="K139" s="16"/>
      <c r="L139" s="8"/>
      <c r="M139" s="15"/>
      <c r="N139" s="1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4"/>
      <c r="C140" s="5">
        <v>2.0</v>
      </c>
      <c r="D140" s="6">
        <v>-610.5</v>
      </c>
      <c r="E140" s="4"/>
      <c r="F140" s="4"/>
      <c r="G140" s="4"/>
      <c r="H140" s="4"/>
      <c r="I140" s="1"/>
      <c r="J140" s="15"/>
      <c r="K140" s="16"/>
      <c r="L140" s="8"/>
      <c r="M140" s="15"/>
      <c r="N140" s="1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4"/>
      <c r="C141" s="5">
        <v>3.0</v>
      </c>
      <c r="D141" s="6">
        <v>84.0</v>
      </c>
      <c r="E141" s="4"/>
      <c r="F141" s="4"/>
      <c r="G141" s="4"/>
      <c r="H141" s="4"/>
      <c r="I141" s="1"/>
      <c r="J141" s="16" t="s">
        <v>3</v>
      </c>
      <c r="K141" s="16" t="s">
        <v>4</v>
      </c>
      <c r="L141" s="17" t="s">
        <v>5</v>
      </c>
      <c r="M141" s="17" t="s">
        <v>6</v>
      </c>
      <c r="N141" s="17" t="s">
        <v>7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4"/>
      <c r="C142" s="5">
        <v>4.0</v>
      </c>
      <c r="D142" s="6">
        <v>552.0</v>
      </c>
      <c r="E142" s="4"/>
      <c r="F142" s="4"/>
      <c r="G142" s="4"/>
      <c r="H142" s="4"/>
      <c r="I142" s="1"/>
      <c r="J142" s="8">
        <v>96.165</v>
      </c>
      <c r="K142" s="8" t="s">
        <v>18</v>
      </c>
      <c r="L142" s="8" t="s">
        <v>19</v>
      </c>
      <c r="M142" s="8" t="s">
        <v>20</v>
      </c>
      <c r="N142" s="8">
        <f>5%*J142</f>
        <v>4.80825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4"/>
      <c r="C143" s="5">
        <v>5.0</v>
      </c>
      <c r="D143" s="6">
        <v>2620.0</v>
      </c>
      <c r="E143" s="4"/>
      <c r="F143" s="4"/>
      <c r="G143" s="4"/>
      <c r="H143" s="4"/>
      <c r="I143" s="1"/>
      <c r="J143" s="15"/>
      <c r="K143" s="16"/>
      <c r="L143" s="8"/>
      <c r="M143" s="15"/>
      <c r="N143" s="1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4"/>
      <c r="C144" s="5">
        <v>6.0</v>
      </c>
      <c r="D144" s="6">
        <v>1812.5</v>
      </c>
      <c r="E144" s="6"/>
      <c r="F144" s="4"/>
      <c r="G144" s="4"/>
      <c r="H144" s="4"/>
      <c r="I144" s="1"/>
      <c r="J144" s="15"/>
      <c r="K144" s="16"/>
      <c r="L144" s="8"/>
      <c r="M144" s="8"/>
      <c r="N144" s="1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4"/>
      <c r="C145" s="5">
        <v>7.0</v>
      </c>
      <c r="D145" s="6">
        <v>-367.0</v>
      </c>
      <c r="E145" s="6"/>
      <c r="F145" s="4"/>
      <c r="G145" s="4"/>
      <c r="H145" s="4"/>
      <c r="I145" s="1"/>
      <c r="J145" s="14" t="s">
        <v>21</v>
      </c>
      <c r="K145" s="15"/>
      <c r="L145" s="15"/>
      <c r="M145" s="15"/>
      <c r="N145" s="1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4"/>
      <c r="C146" s="5">
        <v>8.0</v>
      </c>
      <c r="D146" s="6">
        <v>-2369.5</v>
      </c>
      <c r="E146" s="4"/>
      <c r="F146" s="4"/>
      <c r="G146" s="4"/>
      <c r="H146" s="4"/>
      <c r="I146" s="1"/>
      <c r="J146" s="15"/>
      <c r="K146" s="16"/>
      <c r="L146" s="16"/>
      <c r="M146" s="15"/>
      <c r="N146" s="1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4"/>
      <c r="C147" s="5">
        <v>9.0</v>
      </c>
      <c r="D147" s="6">
        <v>119.0</v>
      </c>
      <c r="E147" s="4"/>
      <c r="F147" s="4"/>
      <c r="G147" s="4"/>
      <c r="H147" s="4"/>
      <c r="I147" s="1"/>
      <c r="J147" s="16" t="s">
        <v>22</v>
      </c>
      <c r="K147" s="16"/>
      <c r="L147" s="8"/>
      <c r="M147" s="15"/>
      <c r="N147" s="1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4"/>
      <c r="C148" s="5">
        <v>10.0</v>
      </c>
      <c r="D148" s="6">
        <v>-419.0</v>
      </c>
      <c r="E148" s="4"/>
      <c r="F148" s="4"/>
      <c r="G148" s="4"/>
      <c r="H148" s="4"/>
      <c r="I148" s="1"/>
      <c r="J148" s="15"/>
      <c r="K148" s="16"/>
      <c r="L148" s="8"/>
      <c r="M148" s="15"/>
      <c r="N148" s="1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4"/>
      <c r="C149" s="4"/>
      <c r="D149" s="4"/>
      <c r="E149" s="4"/>
      <c r="F149" s="4"/>
      <c r="G149" s="4"/>
      <c r="H149" s="4"/>
      <c r="I149" s="1"/>
      <c r="J149" s="16" t="s">
        <v>3</v>
      </c>
      <c r="K149" s="16" t="s">
        <v>4</v>
      </c>
      <c r="L149" s="17" t="s">
        <v>5</v>
      </c>
      <c r="M149" s="17" t="s">
        <v>6</v>
      </c>
      <c r="N149" s="17" t="s">
        <v>7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4"/>
      <c r="C150" s="4"/>
      <c r="D150" s="5" t="s">
        <v>3</v>
      </c>
      <c r="E150" s="5" t="s">
        <v>4</v>
      </c>
      <c r="F150" s="7" t="s">
        <v>5</v>
      </c>
      <c r="G150" s="7" t="s">
        <v>6</v>
      </c>
      <c r="H150" s="7" t="s">
        <v>7</v>
      </c>
      <c r="I150" s="1"/>
      <c r="J150" s="8">
        <v>144.67</v>
      </c>
      <c r="K150" s="8" t="s">
        <v>23</v>
      </c>
      <c r="L150" s="8" t="s">
        <v>24</v>
      </c>
      <c r="M150" s="8" t="s">
        <v>25</v>
      </c>
      <c r="N150" s="8">
        <v>7.2335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4"/>
      <c r="C151" s="4"/>
      <c r="D151" s="6">
        <f>AVERAGE(D139:D148)</f>
        <v>-8.55</v>
      </c>
      <c r="E151" s="6">
        <f>VAR(D139:D148)</f>
        <v>2115920.636</v>
      </c>
      <c r="F151" s="6">
        <f>D151-G151</f>
        <v>-1049.12278</v>
      </c>
      <c r="G151" s="8">
        <f>_xlfn.CONFIDENCE.T(0.05,SQRT(E151),COUNT(D139:D148))
</f>
        <v>1040.57278</v>
      </c>
      <c r="H151" s="6">
        <f>5%*D151</f>
        <v>-0.4275</v>
      </c>
      <c r="I151" s="1"/>
      <c r="J151" s="15"/>
      <c r="K151" s="15"/>
      <c r="L151" s="15"/>
      <c r="M151" s="15"/>
      <c r="N151" s="1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6"/>
      <c r="C152" s="4"/>
      <c r="D152" s="4"/>
      <c r="E152" s="4"/>
      <c r="F152" s="6">
        <f>D151+G151</f>
        <v>1032.02278</v>
      </c>
      <c r="G152" s="4"/>
      <c r="H152" s="4"/>
      <c r="I152" s="1"/>
      <c r="J152" s="15"/>
      <c r="K152" s="15"/>
      <c r="L152" s="15"/>
      <c r="M152" s="15"/>
      <c r="N152" s="1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1"/>
      <c r="C153" s="9"/>
      <c r="D153" s="9"/>
      <c r="E153" s="1"/>
      <c r="F153" s="1"/>
      <c r="G153" s="1"/>
      <c r="H153" s="1"/>
      <c r="I153" s="1"/>
      <c r="J153" s="14" t="s">
        <v>26</v>
      </c>
      <c r="K153" s="15"/>
      <c r="L153" s="15"/>
      <c r="M153" s="15"/>
      <c r="N153" s="1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1"/>
      <c r="C154" s="9"/>
      <c r="D154" s="1"/>
      <c r="E154" s="1"/>
      <c r="F154" s="1"/>
      <c r="G154" s="1"/>
      <c r="H154" s="1"/>
      <c r="I154" s="1"/>
      <c r="J154" s="15"/>
      <c r="K154" s="16"/>
      <c r="L154" s="16"/>
      <c r="M154" s="15"/>
      <c r="N154" s="1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1"/>
      <c r="C155" s="9"/>
      <c r="D155" s="1"/>
      <c r="E155" s="1"/>
      <c r="F155" s="1"/>
      <c r="G155" s="1"/>
      <c r="H155" s="1"/>
      <c r="I155" s="1"/>
      <c r="J155" s="16" t="s">
        <v>27</v>
      </c>
      <c r="K155" s="16"/>
      <c r="L155" s="8"/>
      <c r="M155" s="15"/>
      <c r="N155" s="1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3" t="s">
        <v>28</v>
      </c>
      <c r="C156" s="4"/>
      <c r="D156" s="4"/>
      <c r="E156" s="4"/>
      <c r="F156" s="4"/>
      <c r="G156" s="4"/>
      <c r="H156" s="4"/>
      <c r="I156" s="1"/>
      <c r="J156" s="15"/>
      <c r="K156" s="16"/>
      <c r="L156" s="8"/>
      <c r="M156" s="15"/>
      <c r="N156" s="1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4"/>
      <c r="C157" s="5" t="s">
        <v>1</v>
      </c>
      <c r="D157" s="5" t="s">
        <v>2</v>
      </c>
      <c r="E157" s="4"/>
      <c r="F157" s="4"/>
      <c r="G157" s="4"/>
      <c r="H157" s="4"/>
      <c r="I157" s="1"/>
      <c r="J157" s="16" t="s">
        <v>3</v>
      </c>
      <c r="K157" s="16" t="s">
        <v>4</v>
      </c>
      <c r="L157" s="17" t="s">
        <v>5</v>
      </c>
      <c r="M157" s="17" t="s">
        <v>6</v>
      </c>
      <c r="N157" s="17" t="s">
        <v>7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4"/>
      <c r="C158" s="5">
        <v>1.0</v>
      </c>
      <c r="D158" s="6">
        <v>344025.0</v>
      </c>
      <c r="E158" s="4"/>
      <c r="F158" s="4"/>
      <c r="G158" s="4"/>
      <c r="H158" s="4"/>
      <c r="I158" s="1"/>
      <c r="J158" s="8">
        <v>179.95</v>
      </c>
      <c r="K158" s="8" t="s">
        <v>29</v>
      </c>
      <c r="L158" s="8" t="s">
        <v>30</v>
      </c>
      <c r="M158" s="8" t="s">
        <v>31</v>
      </c>
      <c r="N158" s="8">
        <f>5%*J158</f>
        <v>8.9975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4"/>
      <c r="C159" s="5">
        <v>2.0</v>
      </c>
      <c r="D159" s="6">
        <v>340666.0</v>
      </c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4"/>
      <c r="C160" s="5">
        <v>3.0</v>
      </c>
      <c r="D160" s="6">
        <v>340272.0</v>
      </c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4"/>
      <c r="C161" s="5">
        <v>4.0</v>
      </c>
      <c r="D161" s="6">
        <v>345628.0</v>
      </c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4"/>
      <c r="C162" s="5">
        <v>5.0</v>
      </c>
      <c r="D162" s="6">
        <v>340320.0</v>
      </c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4"/>
      <c r="C163" s="5">
        <v>6.0</v>
      </c>
      <c r="D163" s="6">
        <v>337502.0</v>
      </c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4"/>
      <c r="C164" s="5">
        <v>7.0</v>
      </c>
      <c r="D164" s="6">
        <v>342526.0</v>
      </c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4"/>
      <c r="C165" s="5">
        <v>8.0</v>
      </c>
      <c r="D165" s="6">
        <v>342925.0</v>
      </c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4"/>
      <c r="C166" s="5">
        <v>9.0</v>
      </c>
      <c r="D166" s="6">
        <v>338502.0</v>
      </c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4"/>
      <c r="C167" s="5">
        <v>10.0</v>
      </c>
      <c r="D167" s="6">
        <v>344557.0</v>
      </c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4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4"/>
      <c r="C169" s="4"/>
      <c r="D169" s="5" t="s">
        <v>3</v>
      </c>
      <c r="E169" s="5" t="s">
        <v>4</v>
      </c>
      <c r="F169" s="7" t="s">
        <v>5</v>
      </c>
      <c r="G169" s="7" t="s">
        <v>6</v>
      </c>
      <c r="H169" s="7" t="s">
        <v>7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4"/>
      <c r="C170" s="4"/>
      <c r="D170" s="6">
        <f>AVERAGE(D158:D167)</f>
        <v>341692.3</v>
      </c>
      <c r="E170" s="6">
        <f>VAR(D158:D167)</f>
        <v>7115857.122</v>
      </c>
      <c r="F170" s="6">
        <f>D170-G170</f>
        <v>339784.0451</v>
      </c>
      <c r="G170" s="8">
        <f>_xlfn.CONFIDENCE.T(0.05,SQRT(E170),COUNT(D158:D167))
</f>
        <v>1908.254889</v>
      </c>
      <c r="H170" s="6">
        <f>5%*D170</f>
        <v>17084.615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6"/>
      <c r="C171" s="4"/>
      <c r="D171" s="4"/>
      <c r="E171" s="4"/>
      <c r="F171" s="6">
        <f>D170+G170</f>
        <v>343600.5549</v>
      </c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1"/>
      <c r="C172" s="1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3" t="s">
        <v>32</v>
      </c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4"/>
      <c r="C176" s="5" t="s">
        <v>1</v>
      </c>
      <c r="D176" s="5" t="s">
        <v>2</v>
      </c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4"/>
      <c r="C177" s="5">
        <v>1.0</v>
      </c>
      <c r="D177" s="6">
        <v>105911.0</v>
      </c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4"/>
      <c r="C178" s="5">
        <v>2.0</v>
      </c>
      <c r="D178" s="6">
        <v>103567.0</v>
      </c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4"/>
      <c r="C179" s="5">
        <v>3.0</v>
      </c>
      <c r="D179" s="6">
        <v>103020.0</v>
      </c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4"/>
      <c r="C180" s="5">
        <v>4.0</v>
      </c>
      <c r="D180" s="6">
        <v>106451.0</v>
      </c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4"/>
      <c r="C181" s="5">
        <v>5.0</v>
      </c>
      <c r="D181" s="6">
        <v>103750.0</v>
      </c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4"/>
      <c r="C182" s="5">
        <v>6.0</v>
      </c>
      <c r="D182" s="6">
        <v>101756.0</v>
      </c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4"/>
      <c r="C183" s="5">
        <v>7.0</v>
      </c>
      <c r="D183" s="6">
        <v>103938.0</v>
      </c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4"/>
      <c r="C184" s="5">
        <v>8.0</v>
      </c>
      <c r="D184" s="6">
        <v>104624.0</v>
      </c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4"/>
      <c r="C185" s="5">
        <v>9.0</v>
      </c>
      <c r="D185" s="6">
        <v>100461.0</v>
      </c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4"/>
      <c r="C186" s="5">
        <v>10.0</v>
      </c>
      <c r="D186" s="6">
        <v>103848.0</v>
      </c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4"/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4"/>
      <c r="C188" s="4"/>
      <c r="D188" s="5" t="s">
        <v>3</v>
      </c>
      <c r="E188" s="5" t="s">
        <v>4</v>
      </c>
      <c r="F188" s="7" t="s">
        <v>5</v>
      </c>
      <c r="G188" s="7" t="s">
        <v>6</v>
      </c>
      <c r="H188" s="7" t="s">
        <v>7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4"/>
      <c r="C189" s="4"/>
      <c r="D189" s="6">
        <f>AVERAGE(D177:D186)</f>
        <v>103732.6</v>
      </c>
      <c r="E189" s="6">
        <f>VAR(D177:D186)</f>
        <v>3125673.822</v>
      </c>
      <c r="F189" s="6">
        <f>D189-G189</f>
        <v>102467.8794</v>
      </c>
      <c r="G189" s="8">
        <f>_xlfn.CONFIDENCE.T(0.05,SQRT(E189),COUNT(D177:D186))
</f>
        <v>1264.720627</v>
      </c>
      <c r="H189" s="6">
        <f>5%*D189</f>
        <v>5186.63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6"/>
      <c r="C190" s="4"/>
      <c r="D190" s="4"/>
      <c r="E190" s="4"/>
      <c r="F190" s="6">
        <f>D189+G189</f>
        <v>104997.3206</v>
      </c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1"/>
      <c r="C191" s="9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1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1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3" t="s">
        <v>33</v>
      </c>
      <c r="C194" s="4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4"/>
      <c r="C195" s="5" t="s">
        <v>1</v>
      </c>
      <c r="D195" s="5" t="s">
        <v>2</v>
      </c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4"/>
      <c r="C196" s="5">
        <v>1.0</v>
      </c>
      <c r="D196" s="6">
        <v>53848.0</v>
      </c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4"/>
      <c r="C197" s="5">
        <v>2.0</v>
      </c>
      <c r="D197" s="6">
        <v>55854.0</v>
      </c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4"/>
      <c r="C198" s="5">
        <v>3.0</v>
      </c>
      <c r="D198" s="6">
        <v>54889.0</v>
      </c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4"/>
      <c r="C199" s="5">
        <v>4.0</v>
      </c>
      <c r="D199" s="6">
        <v>56040.0</v>
      </c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4"/>
      <c r="C200" s="5">
        <v>5.0</v>
      </c>
      <c r="D200" s="6">
        <v>56979.0</v>
      </c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4"/>
      <c r="C201" s="5">
        <v>6.0</v>
      </c>
      <c r="D201" s="6">
        <v>50007.0</v>
      </c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4"/>
      <c r="C202" s="5">
        <v>7.0</v>
      </c>
      <c r="D202" s="6">
        <v>52808.0</v>
      </c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4"/>
      <c r="C203" s="5">
        <v>8.0</v>
      </c>
      <c r="D203" s="6">
        <v>50984.0</v>
      </c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4"/>
      <c r="C204" s="5">
        <v>9.0</v>
      </c>
      <c r="D204" s="6">
        <v>51380.0</v>
      </c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4"/>
      <c r="C205" s="5">
        <v>10.0</v>
      </c>
      <c r="D205" s="6">
        <v>53790.0</v>
      </c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4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4"/>
      <c r="C207" s="4"/>
      <c r="D207" s="5" t="s">
        <v>3</v>
      </c>
      <c r="E207" s="5" t="s">
        <v>4</v>
      </c>
      <c r="F207" s="7" t="s">
        <v>5</v>
      </c>
      <c r="G207" s="7" t="s">
        <v>6</v>
      </c>
      <c r="H207" s="7" t="s">
        <v>7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4"/>
      <c r="C208" s="4"/>
      <c r="D208" s="6">
        <f>AVERAGE(D196:D205)</f>
        <v>53657.9</v>
      </c>
      <c r="E208" s="6">
        <f>VAR(D196:D205)</f>
        <v>5498458.544</v>
      </c>
      <c r="F208" s="6">
        <f>D208-G208</f>
        <v>51980.47446</v>
      </c>
      <c r="G208" s="8">
        <f>_xlfn.CONFIDENCE.T(0.05,SQRT(E208),COUNT(D196:D205))
</f>
        <v>1677.425542</v>
      </c>
      <c r="H208" s="6">
        <f>5%*D208</f>
        <v>2682.895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6"/>
      <c r="C209" s="4"/>
      <c r="D209" s="4"/>
      <c r="E209" s="4"/>
      <c r="F209" s="6">
        <f>D208+G208</f>
        <v>55335.32554</v>
      </c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1"/>
      <c r="C210" s="9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1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1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3" t="s">
        <v>34</v>
      </c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4"/>
      <c r="C214" s="5" t="s">
        <v>1</v>
      </c>
      <c r="D214" s="5" t="s">
        <v>2</v>
      </c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4"/>
      <c r="C215" s="5">
        <v>1.0</v>
      </c>
      <c r="D215" s="6">
        <v>-41012.0</v>
      </c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4"/>
      <c r="C216" s="5">
        <v>2.0</v>
      </c>
      <c r="D216" s="6">
        <v>-38870.0</v>
      </c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4"/>
      <c r="C217" s="5">
        <v>3.0</v>
      </c>
      <c r="D217" s="6">
        <v>-38522.0</v>
      </c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4"/>
      <c r="C218" s="5">
        <v>4.0</v>
      </c>
      <c r="D218" s="6">
        <v>-39585.0</v>
      </c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4"/>
      <c r="C219" s="5">
        <v>5.0</v>
      </c>
      <c r="D219" s="6">
        <v>-38290.0</v>
      </c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4"/>
      <c r="C220" s="5">
        <v>6.0</v>
      </c>
      <c r="D220" s="6">
        <v>-42094.0</v>
      </c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4"/>
      <c r="C221" s="5">
        <v>7.0</v>
      </c>
      <c r="D221" s="6">
        <v>-39146.0</v>
      </c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4"/>
      <c r="C222" s="5">
        <v>8.0</v>
      </c>
      <c r="D222" s="6">
        <v>-39767.0</v>
      </c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4"/>
      <c r="C223" s="5">
        <v>9.0</v>
      </c>
      <c r="D223" s="6">
        <v>-40545.0</v>
      </c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4"/>
      <c r="C224" s="5">
        <v>10.0</v>
      </c>
      <c r="D224" s="6">
        <v>-41211.0</v>
      </c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4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4"/>
      <c r="C226" s="4"/>
      <c r="D226" s="5" t="s">
        <v>3</v>
      </c>
      <c r="E226" s="5" t="s">
        <v>4</v>
      </c>
      <c r="F226" s="7" t="s">
        <v>5</v>
      </c>
      <c r="G226" s="7" t="s">
        <v>6</v>
      </c>
      <c r="H226" s="7" t="s">
        <v>7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4"/>
      <c r="C227" s="4"/>
      <c r="D227" s="6">
        <f>AVERAGE(D215:D224)</f>
        <v>-39904.2</v>
      </c>
      <c r="E227" s="6">
        <f>VAR(D215:D224)</f>
        <v>1602451.511</v>
      </c>
      <c r="F227" s="6">
        <f>D227-G227</f>
        <v>-40809.75581</v>
      </c>
      <c r="G227" s="8">
        <f>_xlfn.CONFIDENCE.T(0.05,SQRT(E227),COUNT(D215:D224))
</f>
        <v>905.5558127</v>
      </c>
      <c r="H227" s="6">
        <f>5%*D227</f>
        <v>-1995.21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6"/>
      <c r="C228" s="4"/>
      <c r="D228" s="4"/>
      <c r="E228" s="4"/>
      <c r="F228" s="6">
        <f>D227+G227</f>
        <v>-38998.64419</v>
      </c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1"/>
      <c r="C229" s="1"/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3" t="s">
        <v>35</v>
      </c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4"/>
      <c r="C233" s="5" t="s">
        <v>1</v>
      </c>
      <c r="D233" s="5" t="s">
        <v>2</v>
      </c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4"/>
      <c r="C234" s="5">
        <v>1.0</v>
      </c>
      <c r="D234" s="6">
        <v>392658.0</v>
      </c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4"/>
      <c r="C235" s="5">
        <v>2.0</v>
      </c>
      <c r="D235" s="6">
        <v>399445.0</v>
      </c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4"/>
      <c r="C236" s="5">
        <v>3.0</v>
      </c>
      <c r="D236" s="6">
        <v>402015.0</v>
      </c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4"/>
      <c r="C237" s="5">
        <v>4.0</v>
      </c>
      <c r="D237" s="6">
        <v>411680.0</v>
      </c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4"/>
      <c r="C238" s="5">
        <v>5.0</v>
      </c>
      <c r="D238" s="6">
        <v>413502.0</v>
      </c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4"/>
      <c r="C239" s="5">
        <v>6.0</v>
      </c>
      <c r="D239" s="6">
        <v>402592.0</v>
      </c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4"/>
      <c r="C240" s="5">
        <v>7.0</v>
      </c>
      <c r="D240" s="6">
        <v>411058.0</v>
      </c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4"/>
      <c r="C241" s="5">
        <v>8.0</v>
      </c>
      <c r="D241" s="6">
        <v>400328.0</v>
      </c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4"/>
      <c r="C242" s="5">
        <v>9.0</v>
      </c>
      <c r="D242" s="6">
        <v>407382.0</v>
      </c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4"/>
      <c r="C243" s="5">
        <v>10.0</v>
      </c>
      <c r="D243" s="6">
        <v>394429.0</v>
      </c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4"/>
      <c r="C244" s="4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4"/>
      <c r="C245" s="4"/>
      <c r="D245" s="5" t="s">
        <v>3</v>
      </c>
      <c r="E245" s="5" t="s">
        <v>4</v>
      </c>
      <c r="F245" s="7" t="s">
        <v>5</v>
      </c>
      <c r="G245" s="7" t="s">
        <v>6</v>
      </c>
      <c r="H245" s="7" t="s">
        <v>7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4"/>
      <c r="C246" s="4"/>
      <c r="D246" s="6">
        <f>AVERAGE(D234:D243)</f>
        <v>403508.9</v>
      </c>
      <c r="E246" s="6">
        <f>VAR(D234:D243)</f>
        <v>52056800.32</v>
      </c>
      <c r="F246" s="6">
        <f>D246-G246</f>
        <v>398347.5714</v>
      </c>
      <c r="G246" s="8">
        <f>_xlfn.CONFIDENCE.T(0.05,SQRT(E246),COUNT(D234:D243))
</f>
        <v>5161.328598</v>
      </c>
      <c r="H246" s="6">
        <f>5%*D246</f>
        <v>20175.445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6"/>
      <c r="C247" s="4"/>
      <c r="D247" s="4"/>
      <c r="E247" s="4"/>
      <c r="F247" s="6">
        <f>D246+G246</f>
        <v>408670.2286</v>
      </c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1"/>
      <c r="C248" s="1"/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3" t="s">
        <v>36</v>
      </c>
      <c r="C251" s="4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4"/>
      <c r="C252" s="5" t="s">
        <v>1</v>
      </c>
      <c r="D252" s="5" t="s">
        <v>2</v>
      </c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4"/>
      <c r="C253" s="5">
        <v>1.0</v>
      </c>
      <c r="D253" s="6">
        <v>118489.0</v>
      </c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4"/>
      <c r="C254" s="5">
        <v>2.0</v>
      </c>
      <c r="D254" s="6">
        <v>129045.0</v>
      </c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4"/>
      <c r="C255" s="5">
        <v>3.0</v>
      </c>
      <c r="D255" s="6">
        <v>125360.0</v>
      </c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4"/>
      <c r="C256" s="5">
        <v>4.0</v>
      </c>
      <c r="D256" s="6">
        <v>124069.0</v>
      </c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4"/>
      <c r="C257" s="5">
        <v>5.0</v>
      </c>
      <c r="D257" s="6">
        <v>128038.0</v>
      </c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4"/>
      <c r="C258" s="5">
        <v>6.0</v>
      </c>
      <c r="D258" s="6">
        <v>124369.0</v>
      </c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4"/>
      <c r="C259" s="5">
        <v>7.0</v>
      </c>
      <c r="D259" s="6">
        <v>125271.0</v>
      </c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4"/>
      <c r="C260" s="5">
        <v>8.0</v>
      </c>
      <c r="D260" s="6">
        <v>125870.0</v>
      </c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4"/>
      <c r="C261" s="5">
        <v>9.0</v>
      </c>
      <c r="D261" s="6">
        <v>124555.0</v>
      </c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4"/>
      <c r="C262" s="5">
        <v>10.0</v>
      </c>
      <c r="D262" s="6">
        <v>128119.0</v>
      </c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4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4"/>
      <c r="C264" s="4"/>
      <c r="D264" s="5" t="s">
        <v>3</v>
      </c>
      <c r="E264" s="5" t="s">
        <v>4</v>
      </c>
      <c r="F264" s="7" t="s">
        <v>5</v>
      </c>
      <c r="G264" s="7" t="s">
        <v>6</v>
      </c>
      <c r="H264" s="7" t="s">
        <v>7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4"/>
      <c r="C265" s="4"/>
      <c r="D265" s="6">
        <f>AVERAGE(D253:D262)</f>
        <v>125318.5</v>
      </c>
      <c r="E265" s="6">
        <f>VAR(D253:D262)</f>
        <v>8791246.278</v>
      </c>
      <c r="F265" s="6">
        <f>D265-G265</f>
        <v>123197.4642</v>
      </c>
      <c r="G265" s="8">
        <f>_xlfn.CONFIDENCE.T(0.05,SQRT(E265),COUNT(D253:D262))
</f>
        <v>2121.035793</v>
      </c>
      <c r="H265" s="6">
        <f>5%*D265</f>
        <v>6265.925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6"/>
      <c r="C266" s="4"/>
      <c r="D266" s="4"/>
      <c r="E266" s="4"/>
      <c r="F266" s="6">
        <f>D265+G265</f>
        <v>127439.5358</v>
      </c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1"/>
      <c r="C267" s="1"/>
      <c r="D267" s="1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3" t="s">
        <v>37</v>
      </c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4"/>
      <c r="C271" s="5" t="s">
        <v>1</v>
      </c>
      <c r="D271" s="5" t="s">
        <v>2</v>
      </c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4"/>
      <c r="C272" s="5">
        <v>1.0</v>
      </c>
      <c r="D272" s="6">
        <v>189489.0</v>
      </c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4"/>
      <c r="C273" s="5">
        <v>2.0</v>
      </c>
      <c r="D273" s="6">
        <v>187619.0</v>
      </c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4"/>
      <c r="C274" s="5">
        <v>3.0</v>
      </c>
      <c r="D274" s="6">
        <v>181764.0</v>
      </c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4"/>
      <c r="C275" s="5">
        <v>4.0</v>
      </c>
      <c r="D275" s="6">
        <v>191282.0</v>
      </c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4"/>
      <c r="C276" s="5">
        <v>5.0</v>
      </c>
      <c r="D276" s="6">
        <v>185445.0</v>
      </c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4"/>
      <c r="C277" s="5">
        <v>6.0</v>
      </c>
      <c r="D277" s="6">
        <v>184074.0</v>
      </c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4"/>
      <c r="C278" s="5">
        <v>7.0</v>
      </c>
      <c r="D278" s="6">
        <v>183501.0</v>
      </c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4"/>
      <c r="C279" s="5">
        <v>8.0</v>
      </c>
      <c r="D279" s="6">
        <v>190048.0</v>
      </c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4"/>
      <c r="C280" s="5">
        <v>9.0</v>
      </c>
      <c r="D280" s="6">
        <v>188479.0</v>
      </c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4"/>
      <c r="C281" s="5">
        <v>10.0</v>
      </c>
      <c r="D281" s="6">
        <v>192174.0</v>
      </c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4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4"/>
      <c r="C283" s="4"/>
      <c r="D283" s="5" t="s">
        <v>3</v>
      </c>
      <c r="E283" s="5" t="s">
        <v>4</v>
      </c>
      <c r="F283" s="7" t="s">
        <v>5</v>
      </c>
      <c r="G283" s="7" t="s">
        <v>6</v>
      </c>
      <c r="H283" s="7" t="s">
        <v>7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4"/>
      <c r="C284" s="4"/>
      <c r="D284" s="6">
        <f>AVERAGE(D272:D281)</f>
        <v>187387.5</v>
      </c>
      <c r="E284" s="6">
        <f>VAR(D272:D281)</f>
        <v>12477606.94</v>
      </c>
      <c r="F284" s="6">
        <f>D284-G284</f>
        <v>184860.5979</v>
      </c>
      <c r="G284" s="8">
        <f>_xlfn.CONFIDENCE.T(0.05,SQRT(E284),COUNT(D272:D281))
</f>
        <v>2526.902148</v>
      </c>
      <c r="H284" s="6">
        <f>5%*D284</f>
        <v>9369.375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6"/>
      <c r="C285" s="4"/>
      <c r="D285" s="4"/>
      <c r="E285" s="4"/>
      <c r="F285" s="6">
        <f>D284+G284</f>
        <v>189914.4021</v>
      </c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1"/>
      <c r="C286" s="1"/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3" t="s">
        <v>38</v>
      </c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4"/>
      <c r="C290" s="5" t="s">
        <v>1</v>
      </c>
      <c r="D290" s="5" t="s">
        <v>2</v>
      </c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4"/>
      <c r="C291" s="5">
        <v>1.0</v>
      </c>
      <c r="D291" s="6">
        <v>59143.0</v>
      </c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4"/>
      <c r="C292" s="5">
        <v>2.0</v>
      </c>
      <c r="D292" s="6">
        <v>61302.0</v>
      </c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4"/>
      <c r="C293" s="5">
        <v>3.0</v>
      </c>
      <c r="D293" s="6">
        <v>57381.0</v>
      </c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4"/>
      <c r="C294" s="5">
        <v>4.0</v>
      </c>
      <c r="D294" s="6">
        <v>59353.0</v>
      </c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4"/>
      <c r="C295" s="5">
        <v>5.0</v>
      </c>
      <c r="D295" s="6">
        <v>56071.0</v>
      </c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4"/>
      <c r="C296" s="5">
        <v>6.0</v>
      </c>
      <c r="D296" s="6">
        <v>58408.0</v>
      </c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4"/>
      <c r="C297" s="5">
        <v>7.0</v>
      </c>
      <c r="D297" s="6">
        <v>56871.0</v>
      </c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4"/>
      <c r="C298" s="5">
        <v>8.0</v>
      </c>
      <c r="D298" s="6">
        <v>60531.0</v>
      </c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4"/>
      <c r="C299" s="5">
        <v>9.0</v>
      </c>
      <c r="D299" s="6">
        <v>60475.0</v>
      </c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4"/>
      <c r="C300" s="5">
        <v>10.0</v>
      </c>
      <c r="D300" s="6">
        <v>63855.0</v>
      </c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4"/>
      <c r="C301" s="4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4"/>
      <c r="C302" s="4"/>
      <c r="D302" s="5" t="s">
        <v>3</v>
      </c>
      <c r="E302" s="5" t="s">
        <v>4</v>
      </c>
      <c r="F302" s="7" t="s">
        <v>5</v>
      </c>
      <c r="G302" s="7" t="s">
        <v>6</v>
      </c>
      <c r="H302" s="7" t="s">
        <v>7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6"/>
      <c r="C303" s="4"/>
      <c r="D303" s="6">
        <f>AVERAGE(D291:D300)</f>
        <v>59339</v>
      </c>
      <c r="E303" s="6">
        <f>VAR(D291:D300)</f>
        <v>5385441.111</v>
      </c>
      <c r="F303" s="6">
        <f>D303-G303</f>
        <v>57678.90319</v>
      </c>
      <c r="G303" s="8">
        <f>_xlfn.CONFIDENCE.T(0.05,SQRT(E303),COUNT(D291:D300))
</f>
        <v>1660.096809</v>
      </c>
      <c r="H303" s="6">
        <f>5%*D303</f>
        <v>2966.95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6"/>
      <c r="C304" s="4"/>
      <c r="D304" s="4"/>
      <c r="E304" s="4"/>
      <c r="F304" s="6">
        <f>D303+G303</f>
        <v>60999.09681</v>
      </c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1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1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1"/>
      <c r="C309" s="2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1"/>
      <c r="C310" s="21"/>
      <c r="D310" s="21"/>
      <c r="E310" s="21"/>
      <c r="F310" s="2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1"/>
      <c r="C312" s="1"/>
      <c r="D312" s="9"/>
      <c r="E312" s="9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1"/>
      <c r="C313" s="1"/>
      <c r="D313" s="9"/>
      <c r="E313" s="9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  <col customWidth="1" min="14" max="14" width="17.5"/>
  </cols>
  <sheetData>
    <row r="2">
      <c r="B2" s="22" t="s">
        <v>39</v>
      </c>
      <c r="C2" s="23"/>
      <c r="D2" s="24" t="s">
        <v>40</v>
      </c>
      <c r="E2" s="23"/>
      <c r="F2" s="23"/>
      <c r="G2" s="23"/>
      <c r="H2" s="23"/>
      <c r="I2" s="25" t="s">
        <v>41</v>
      </c>
      <c r="J2" s="26"/>
      <c r="K2" s="26"/>
      <c r="L2" s="26"/>
      <c r="M2" s="26"/>
      <c r="N2" s="26"/>
      <c r="O2" s="26"/>
    </row>
    <row r="3">
      <c r="B3" s="23"/>
      <c r="C3" s="23"/>
      <c r="D3" s="24" t="s">
        <v>42</v>
      </c>
      <c r="E3" s="23"/>
      <c r="F3" s="23"/>
      <c r="G3" s="23"/>
      <c r="H3" s="24" t="s">
        <v>43</v>
      </c>
      <c r="I3" s="26"/>
      <c r="J3" s="26"/>
      <c r="K3" s="26"/>
      <c r="L3" s="26"/>
      <c r="M3" s="26"/>
      <c r="N3" s="26"/>
      <c r="O3" s="26"/>
    </row>
    <row r="4">
      <c r="B4" s="23"/>
      <c r="C4" s="27" t="s">
        <v>44</v>
      </c>
      <c r="D4" s="27" t="s">
        <v>45</v>
      </c>
      <c r="E4" s="27" t="s">
        <v>46</v>
      </c>
      <c r="F4" s="27" t="s">
        <v>47</v>
      </c>
      <c r="G4" s="27" t="s">
        <v>48</v>
      </c>
      <c r="H4" s="27" t="s">
        <v>49</v>
      </c>
      <c r="I4" s="28" t="s">
        <v>50</v>
      </c>
      <c r="J4" s="28" t="s">
        <v>51</v>
      </c>
      <c r="K4" s="28" t="s">
        <v>52</v>
      </c>
      <c r="L4" s="28" t="s">
        <v>53</v>
      </c>
      <c r="M4" s="28" t="s">
        <v>54</v>
      </c>
      <c r="N4" s="28" t="s">
        <v>55</v>
      </c>
      <c r="O4" s="28" t="s">
        <v>56</v>
      </c>
    </row>
    <row r="5">
      <c r="B5" s="23"/>
      <c r="C5" s="27">
        <v>1.0</v>
      </c>
      <c r="D5" s="29">
        <v>0.0</v>
      </c>
      <c r="E5" s="29">
        <v>0.0</v>
      </c>
      <c r="F5" s="29">
        <v>0.0</v>
      </c>
      <c r="G5" s="29">
        <v>0.0</v>
      </c>
      <c r="H5" s="8">
        <f>'Resultats+Estadístics'!D18</f>
        <v>239134.45</v>
      </c>
      <c r="I5" s="30">
        <f t="shared" ref="I5:L5" si="1">SUM(H5:H6)</f>
        <v>308194.7</v>
      </c>
      <c r="J5" s="30">
        <f t="shared" si="1"/>
        <v>184529.45</v>
      </c>
      <c r="K5" s="30">
        <f t="shared" si="1"/>
        <v>715839.65</v>
      </c>
      <c r="L5" s="30">
        <f t="shared" si="1"/>
        <v>1950572.15</v>
      </c>
      <c r="M5" s="30">
        <v>16.0</v>
      </c>
      <c r="N5" s="30">
        <f t="shared" ref="N5:N20" si="3">L5/M5</f>
        <v>121910.7594</v>
      </c>
      <c r="O5" s="30" t="s">
        <v>3</v>
      </c>
    </row>
    <row r="6">
      <c r="B6" s="23"/>
      <c r="C6" s="27">
        <v>2.0</v>
      </c>
      <c r="D6" s="29">
        <v>1.0</v>
      </c>
      <c r="E6" s="29">
        <v>0.0</v>
      </c>
      <c r="F6" s="29">
        <v>0.0</v>
      </c>
      <c r="G6" s="29">
        <v>0.0</v>
      </c>
      <c r="H6" s="8">
        <f>'Resultats+Estadístics'!D37</f>
        <v>69060.25</v>
      </c>
      <c r="I6" s="30">
        <f t="shared" ref="I6:L6" si="2">SUM(H7:H8)</f>
        <v>-123665.25</v>
      </c>
      <c r="J6" s="30">
        <f t="shared" si="2"/>
        <v>531310.2</v>
      </c>
      <c r="K6" s="30">
        <f t="shared" si="2"/>
        <v>1234732.5</v>
      </c>
      <c r="L6" s="30">
        <f t="shared" si="2"/>
        <v>-1183334.25</v>
      </c>
      <c r="M6" s="30">
        <v>8.0</v>
      </c>
      <c r="N6" s="30">
        <f t="shared" si="3"/>
        <v>-147916.7813</v>
      </c>
      <c r="O6" s="30" t="s">
        <v>57</v>
      </c>
    </row>
    <row r="7">
      <c r="B7" s="23"/>
      <c r="C7" s="27">
        <v>3.0</v>
      </c>
      <c r="D7" s="29">
        <v>0.0</v>
      </c>
      <c r="E7" s="29">
        <v>1.0</v>
      </c>
      <c r="F7" s="29">
        <v>0.0</v>
      </c>
      <c r="G7" s="29">
        <v>0.0</v>
      </c>
      <c r="H7" s="8">
        <f>'Resultats+Estadístics'!D56</f>
        <v>-48460.55</v>
      </c>
      <c r="I7" s="30">
        <f t="shared" ref="I7:L7" si="4">sum(H9:H10)</f>
        <v>480331.9</v>
      </c>
      <c r="J7" s="30">
        <f t="shared" si="4"/>
        <v>459178.6</v>
      </c>
      <c r="K7" s="30">
        <f t="shared" si="4"/>
        <v>-445573.55</v>
      </c>
      <c r="L7" s="30">
        <f t="shared" si="4"/>
        <v>-1574985.65</v>
      </c>
      <c r="M7" s="30">
        <v>8.0</v>
      </c>
      <c r="N7" s="30">
        <f t="shared" si="3"/>
        <v>-196873.2063</v>
      </c>
      <c r="O7" s="30" t="s">
        <v>58</v>
      </c>
    </row>
    <row r="8">
      <c r="B8" s="23"/>
      <c r="C8" s="27">
        <v>4.0</v>
      </c>
      <c r="D8" s="29">
        <v>1.0</v>
      </c>
      <c r="E8" s="29">
        <v>1.0</v>
      </c>
      <c r="F8" s="29">
        <v>0.0</v>
      </c>
      <c r="G8" s="29">
        <v>0.0</v>
      </c>
      <c r="H8" s="8">
        <f>'Resultats+Estadístics'!D75</f>
        <v>-75204.7</v>
      </c>
      <c r="I8" s="30">
        <f t="shared" ref="I8:L8" si="5">sum(H11:H12)</f>
        <v>50978.3</v>
      </c>
      <c r="J8" s="30">
        <f t="shared" si="5"/>
        <v>775553.9</v>
      </c>
      <c r="K8" s="30">
        <f t="shared" si="5"/>
        <v>-737760.7</v>
      </c>
      <c r="L8" s="30">
        <f t="shared" si="5"/>
        <v>585387.95</v>
      </c>
      <c r="M8" s="30">
        <v>8.0</v>
      </c>
      <c r="N8" s="30">
        <f t="shared" si="3"/>
        <v>73173.49375</v>
      </c>
      <c r="O8" s="30" t="s">
        <v>59</v>
      </c>
    </row>
    <row r="9">
      <c r="B9" s="23"/>
      <c r="C9" s="27">
        <v>5.0</v>
      </c>
      <c r="D9" s="29">
        <v>0.0</v>
      </c>
      <c r="E9" s="29">
        <v>0.0</v>
      </c>
      <c r="F9" s="29">
        <v>1.0</v>
      </c>
      <c r="G9" s="29">
        <v>0.0</v>
      </c>
      <c r="H9" s="8">
        <f>'Resultats+Estadístics'!D94</f>
        <v>339234.35</v>
      </c>
      <c r="I9" s="30">
        <f t="shared" ref="I9:L9" si="6">sum(H13:H14)</f>
        <v>445424.9</v>
      </c>
      <c r="J9" s="30">
        <f t="shared" si="6"/>
        <v>-196818.35</v>
      </c>
      <c r="K9" s="30">
        <f t="shared" si="6"/>
        <v>-861213.55</v>
      </c>
      <c r="L9" s="30">
        <f t="shared" si="6"/>
        <v>663156.05</v>
      </c>
      <c r="M9" s="30">
        <v>8.0</v>
      </c>
      <c r="N9" s="30">
        <f t="shared" si="3"/>
        <v>82894.50625</v>
      </c>
      <c r="O9" s="30" t="s">
        <v>60</v>
      </c>
    </row>
    <row r="10">
      <c r="B10" s="23"/>
      <c r="C10" s="27">
        <v>6.0</v>
      </c>
      <c r="D10" s="29">
        <v>1.0</v>
      </c>
      <c r="E10" s="29">
        <v>0.0</v>
      </c>
      <c r="F10" s="29">
        <v>1.0</v>
      </c>
      <c r="G10" s="29">
        <v>0.0</v>
      </c>
      <c r="H10" s="8">
        <f>'Resultats+Estadístics'!D113</f>
        <v>141097.55</v>
      </c>
      <c r="I10" s="30">
        <f t="shared" ref="I10:L10" si="7">sum(H15:H16)</f>
        <v>13753.7</v>
      </c>
      <c r="J10" s="30">
        <f t="shared" si="7"/>
        <v>-248755.2</v>
      </c>
      <c r="K10" s="30">
        <f t="shared" si="7"/>
        <v>-713772.1</v>
      </c>
      <c r="L10" s="30">
        <f t="shared" si="7"/>
        <v>-126653.95</v>
      </c>
      <c r="M10" s="30">
        <v>8.0</v>
      </c>
      <c r="N10" s="30">
        <f t="shared" si="3"/>
        <v>-15831.74375</v>
      </c>
      <c r="O10" s="30" t="s">
        <v>61</v>
      </c>
    </row>
    <row r="11">
      <c r="B11" s="23"/>
      <c r="C11" s="27">
        <v>7.0</v>
      </c>
      <c r="D11" s="29">
        <v>0.0</v>
      </c>
      <c r="E11" s="29">
        <v>1.0</v>
      </c>
      <c r="F11" s="29">
        <v>1.0</v>
      </c>
      <c r="G11" s="29">
        <v>0.0</v>
      </c>
      <c r="H11" s="8">
        <f>'Resultats+Estadístics'!D132</f>
        <v>50798.35</v>
      </c>
      <c r="I11" s="30">
        <f t="shared" ref="I11:L11" si="8">sum(H17:H18)</f>
        <v>528827.4</v>
      </c>
      <c r="J11" s="30">
        <f t="shared" si="8"/>
        <v>-331521.8</v>
      </c>
      <c r="K11" s="30">
        <f t="shared" si="8"/>
        <v>290848.45</v>
      </c>
      <c r="L11" s="30">
        <f t="shared" si="8"/>
        <v>152076.65</v>
      </c>
      <c r="M11" s="30">
        <v>8.0</v>
      </c>
      <c r="N11" s="30">
        <f t="shared" si="3"/>
        <v>19009.58125</v>
      </c>
      <c r="O11" s="30" t="s">
        <v>62</v>
      </c>
    </row>
    <row r="12">
      <c r="B12" s="23"/>
      <c r="C12" s="27">
        <v>8.0</v>
      </c>
      <c r="D12" s="29">
        <v>1.0</v>
      </c>
      <c r="E12" s="29">
        <v>1.0</v>
      </c>
      <c r="F12" s="29">
        <v>1.0</v>
      </c>
      <c r="G12" s="29">
        <v>0.0</v>
      </c>
      <c r="H12" s="8">
        <f>'Resultats+Estadístics'!J158</f>
        <v>179.95</v>
      </c>
      <c r="I12" s="30">
        <f t="shared" ref="I12:L12" si="9">sum(H19:H20)</f>
        <v>246726.5</v>
      </c>
      <c r="J12" s="30">
        <f t="shared" si="9"/>
        <v>-406238.9</v>
      </c>
      <c r="K12" s="30">
        <f t="shared" si="9"/>
        <v>294539.5</v>
      </c>
      <c r="L12" s="30">
        <f t="shared" si="9"/>
        <v>9932.65</v>
      </c>
      <c r="M12" s="30">
        <v>8.0</v>
      </c>
      <c r="N12" s="30">
        <f t="shared" si="3"/>
        <v>1241.58125</v>
      </c>
      <c r="O12" s="30" t="s">
        <v>63</v>
      </c>
    </row>
    <row r="13">
      <c r="B13" s="23"/>
      <c r="C13" s="27">
        <v>9.0</v>
      </c>
      <c r="D13" s="29">
        <v>0.0</v>
      </c>
      <c r="E13" s="29">
        <v>0.0</v>
      </c>
      <c r="F13" s="29">
        <v>0.0</v>
      </c>
      <c r="G13" s="29">
        <v>1.0</v>
      </c>
      <c r="H13" s="8">
        <f>'Resultats+Estadístics'!D170</f>
        <v>341692.3</v>
      </c>
      <c r="I13" s="30">
        <f t="shared" ref="I13:L13" si="10">H6-H5</f>
        <v>-170074.2</v>
      </c>
      <c r="J13" s="30">
        <f t="shared" si="10"/>
        <v>-431859.95</v>
      </c>
      <c r="K13" s="30">
        <f t="shared" si="10"/>
        <v>346780.75</v>
      </c>
      <c r="L13" s="30">
        <f t="shared" si="10"/>
        <v>518892.85</v>
      </c>
      <c r="M13" s="30">
        <v>8.0</v>
      </c>
      <c r="N13" s="30">
        <f t="shared" si="3"/>
        <v>64861.60625</v>
      </c>
      <c r="O13" s="30" t="s">
        <v>64</v>
      </c>
    </row>
    <row r="14">
      <c r="B14" s="23"/>
      <c r="C14" s="27">
        <v>10.0</v>
      </c>
      <c r="D14" s="29">
        <v>1.0</v>
      </c>
      <c r="E14" s="29">
        <v>0.0</v>
      </c>
      <c r="F14" s="29">
        <v>0.0</v>
      </c>
      <c r="G14" s="29">
        <v>1.0</v>
      </c>
      <c r="H14" s="8">
        <f>'Resultats+Estadístics'!D189</f>
        <v>103732.6</v>
      </c>
      <c r="I14" s="30">
        <f t="shared" ref="I14:L14" si="11">H8-H7</f>
        <v>-26744.15</v>
      </c>
      <c r="J14" s="30">
        <f t="shared" si="11"/>
        <v>-429353.6</v>
      </c>
      <c r="K14" s="30">
        <f t="shared" si="11"/>
        <v>316375.3</v>
      </c>
      <c r="L14" s="30">
        <f t="shared" si="11"/>
        <v>-292187.15</v>
      </c>
      <c r="M14" s="30">
        <v>8.0</v>
      </c>
      <c r="N14" s="30">
        <f t="shared" si="3"/>
        <v>-36523.39375</v>
      </c>
      <c r="O14" s="30" t="s">
        <v>65</v>
      </c>
    </row>
    <row r="15">
      <c r="B15" s="23"/>
      <c r="C15" s="27">
        <v>11.0</v>
      </c>
      <c r="D15" s="29">
        <v>0.0</v>
      </c>
      <c r="E15" s="29">
        <v>1.0</v>
      </c>
      <c r="F15" s="29">
        <v>0.0</v>
      </c>
      <c r="G15" s="29">
        <v>1.0</v>
      </c>
      <c r="H15" s="8">
        <f>'Resultats+Estadístics'!D208</f>
        <v>53657.9</v>
      </c>
      <c r="I15" s="30">
        <f t="shared" ref="I15:L15" si="12">H10-H9</f>
        <v>-198136.8</v>
      </c>
      <c r="J15" s="30">
        <f t="shared" si="12"/>
        <v>-431671.2</v>
      </c>
      <c r="K15" s="30">
        <f t="shared" si="12"/>
        <v>-51936.85</v>
      </c>
      <c r="L15" s="30">
        <f t="shared" si="12"/>
        <v>147441.45</v>
      </c>
      <c r="M15" s="30">
        <v>8.0</v>
      </c>
      <c r="N15" s="30">
        <f t="shared" si="3"/>
        <v>18430.18125</v>
      </c>
      <c r="O15" s="30" t="s">
        <v>66</v>
      </c>
    </row>
    <row r="16">
      <c r="B16" s="23"/>
      <c r="C16" s="27">
        <v>12.0</v>
      </c>
      <c r="D16" s="29">
        <v>1.0</v>
      </c>
      <c r="E16" s="29">
        <v>1.0</v>
      </c>
      <c r="F16" s="29">
        <v>0.0</v>
      </c>
      <c r="G16" s="29">
        <v>1.0</v>
      </c>
      <c r="H16" s="8">
        <f>'Resultats+Estadístics'!D227</f>
        <v>-39904.2</v>
      </c>
      <c r="I16" s="30">
        <f t="shared" ref="I16:L16" si="13">H12-H11</f>
        <v>-50618.4</v>
      </c>
      <c r="J16" s="30">
        <f t="shared" si="13"/>
        <v>-282100.9</v>
      </c>
      <c r="K16" s="30">
        <f t="shared" si="13"/>
        <v>-74717.1</v>
      </c>
      <c r="L16" s="30">
        <f t="shared" si="13"/>
        <v>3691.05</v>
      </c>
      <c r="M16" s="30">
        <v>8.0</v>
      </c>
      <c r="N16" s="30">
        <f t="shared" si="3"/>
        <v>461.38125</v>
      </c>
      <c r="O16" s="30" t="s">
        <v>67</v>
      </c>
    </row>
    <row r="17">
      <c r="B17" s="23"/>
      <c r="C17" s="27">
        <v>13.0</v>
      </c>
      <c r="D17" s="29">
        <v>0.0</v>
      </c>
      <c r="E17" s="29">
        <v>0.0</v>
      </c>
      <c r="F17" s="29">
        <v>1.0</v>
      </c>
      <c r="G17" s="29">
        <v>1.0</v>
      </c>
      <c r="H17" s="8">
        <f>'Resultats+Estadístics'!D246</f>
        <v>403508.9</v>
      </c>
      <c r="I17" s="30">
        <f t="shared" ref="I17:L17" si="14">H14-H13</f>
        <v>-237959.7</v>
      </c>
      <c r="J17" s="30">
        <f t="shared" si="14"/>
        <v>143330.05</v>
      </c>
      <c r="K17" s="30">
        <f t="shared" si="14"/>
        <v>2506.35</v>
      </c>
      <c r="L17" s="30">
        <f t="shared" si="14"/>
        <v>-30405.45</v>
      </c>
      <c r="M17" s="30">
        <v>8.0</v>
      </c>
      <c r="N17" s="30">
        <f t="shared" si="3"/>
        <v>-3800.68125</v>
      </c>
      <c r="O17" s="30" t="s">
        <v>68</v>
      </c>
    </row>
    <row r="18">
      <c r="B18" s="23"/>
      <c r="C18" s="27">
        <v>14.0</v>
      </c>
      <c r="D18" s="29">
        <v>1.0</v>
      </c>
      <c r="E18" s="29">
        <v>0.0</v>
      </c>
      <c r="F18" s="29">
        <v>1.0</v>
      </c>
      <c r="G18" s="29">
        <v>1.0</v>
      </c>
      <c r="H18" s="8">
        <f>'Resultats+Estadístics'!D265</f>
        <v>125318.5</v>
      </c>
      <c r="I18" s="30">
        <f t="shared" ref="I18:L18" si="15">H16-H15</f>
        <v>-93562.1</v>
      </c>
      <c r="J18" s="30">
        <f t="shared" si="15"/>
        <v>147518.4</v>
      </c>
      <c r="K18" s="30">
        <f t="shared" si="15"/>
        <v>149570.3</v>
      </c>
      <c r="L18" s="30">
        <f t="shared" si="15"/>
        <v>-22780.25</v>
      </c>
      <c r="M18" s="30">
        <v>8.0</v>
      </c>
      <c r="N18" s="30">
        <f t="shared" si="3"/>
        <v>-2847.53125</v>
      </c>
      <c r="O18" s="30" t="s">
        <v>69</v>
      </c>
    </row>
    <row r="19">
      <c r="B19" s="23"/>
      <c r="C19" s="27">
        <v>15.0</v>
      </c>
      <c r="D19" s="29">
        <v>0.0</v>
      </c>
      <c r="E19" s="29">
        <v>1.0</v>
      </c>
      <c r="F19" s="29">
        <v>1.0</v>
      </c>
      <c r="G19" s="29">
        <v>1.0</v>
      </c>
      <c r="H19" s="8">
        <f>'Resultats+Estadístics'!D284</f>
        <v>187387.5</v>
      </c>
      <c r="I19" s="30">
        <f t="shared" ref="I19:L19" si="16">H18-H17</f>
        <v>-278190.4</v>
      </c>
      <c r="J19" s="30">
        <f t="shared" si="16"/>
        <v>144397.6</v>
      </c>
      <c r="K19" s="30">
        <f t="shared" si="16"/>
        <v>4188.35</v>
      </c>
      <c r="L19" s="30">
        <f t="shared" si="16"/>
        <v>147063.95</v>
      </c>
      <c r="M19" s="30">
        <v>8.0</v>
      </c>
      <c r="N19" s="30">
        <f t="shared" si="3"/>
        <v>18382.99375</v>
      </c>
      <c r="O19" s="30" t="s">
        <v>70</v>
      </c>
    </row>
    <row r="20">
      <c r="B20" s="23"/>
      <c r="C20" s="27">
        <v>16.0</v>
      </c>
      <c r="D20" s="29">
        <v>1.0</v>
      </c>
      <c r="E20" s="29">
        <v>1.0</v>
      </c>
      <c r="F20" s="29">
        <v>1.0</v>
      </c>
      <c r="G20" s="29">
        <v>1.0</v>
      </c>
      <c r="H20" s="8">
        <f>'Resultats+Estadístics'!D303</f>
        <v>59339</v>
      </c>
      <c r="I20" s="30">
        <f t="shared" ref="I20:L20" si="17">H20-H19</f>
        <v>-128048.5</v>
      </c>
      <c r="J20" s="30">
        <f t="shared" si="17"/>
        <v>150141.9</v>
      </c>
      <c r="K20" s="30">
        <f t="shared" si="17"/>
        <v>5744.3</v>
      </c>
      <c r="L20" s="30">
        <f t="shared" si="17"/>
        <v>1555.95</v>
      </c>
      <c r="M20" s="30">
        <v>8.0</v>
      </c>
      <c r="N20" s="30">
        <f t="shared" si="3"/>
        <v>194.49375</v>
      </c>
      <c r="O20" s="30" t="s">
        <v>71</v>
      </c>
    </row>
    <row r="21">
      <c r="B21" s="23"/>
      <c r="C21" s="23"/>
      <c r="D21" s="23"/>
      <c r="E21" s="23"/>
      <c r="F21" s="23"/>
      <c r="G21" s="23"/>
      <c r="H21" s="23"/>
      <c r="I21" s="26"/>
      <c r="J21" s="26"/>
      <c r="K21" s="26"/>
      <c r="L21" s="26"/>
      <c r="M21" s="26"/>
      <c r="N21" s="26"/>
      <c r="O21" s="26"/>
    </row>
    <row r="22">
      <c r="B22" s="23"/>
      <c r="C22" s="23"/>
      <c r="D22" s="23"/>
      <c r="E22" s="23"/>
      <c r="F22" s="23"/>
      <c r="G22" s="23"/>
      <c r="H22" s="23"/>
      <c r="I22" s="26"/>
      <c r="J22" s="26"/>
      <c r="K22" s="26"/>
      <c r="L22" s="26"/>
      <c r="M22" s="26"/>
      <c r="N22" s="26"/>
      <c r="O22" s="26"/>
    </row>
  </sheetData>
  <drawing r:id="rId1"/>
</worksheet>
</file>